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anignacio.tornero\Desktop\QA\Automation\Ford\web scraping\SpecSheet\"/>
    </mc:Choice>
  </mc:AlternateContent>
  <xr:revisionPtr revIDLastSave="0" documentId="13_ncr:1_{7942DB7E-EB1E-4C1B-B464-B0CABD30B5F0}" xr6:coauthVersionLast="47" xr6:coauthVersionMax="47" xr10:uidLastSave="{00000000-0000-0000-0000-000000000000}"/>
  <bookViews>
    <workbookView xWindow="-110" yWindow="-110" windowWidth="19420" windowHeight="10420" activeTab="2" xr2:uid="{2C49E02E-E465-4419-80B7-BE631D9438BF}"/>
  </bookViews>
  <sheets>
    <sheet name="Cliente" sheetId="3" r:id="rId1"/>
    <sheet name="2023 Ford Ranger XL Truck _ Mod" sheetId="19" r:id="rId2"/>
    <sheet name="csv" sheetId="10" r:id="rId3"/>
    <sheet name="Varios" sheetId="18" r:id="rId4"/>
    <sheet name="Cliente Backup" sheetId="17" state="hidden" r:id="rId5"/>
  </sheets>
  <externalReferences>
    <externalReference r:id="rId6"/>
  </externalReferences>
  <definedNames>
    <definedName name="_xlnm._FilterDatabase" localSheetId="0" hidden="1">Cliente!$A$1:$C$118</definedName>
    <definedName name="_xlnm._FilterDatabase" localSheetId="4" hidden="1">'Cliente Backup'!$A$1:$C$150</definedName>
    <definedName name="Categories">[1]Categories!$B$6:$B$11</definedName>
    <definedName name="OptionCategories">[1]Categories!$B$41:$B$85</definedName>
    <definedName name="SubCategories">[1]Categories!$C$16:$C$37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3" i="18" l="1"/>
  <c r="A143" i="18"/>
  <c r="B142" i="18"/>
  <c r="A142" i="18"/>
  <c r="B141" i="18"/>
  <c r="A141" i="18"/>
  <c r="B140" i="18"/>
  <c r="A140" i="18"/>
  <c r="B139" i="18"/>
  <c r="A139" i="18"/>
  <c r="B138" i="18"/>
  <c r="A138" i="18"/>
  <c r="B137" i="18"/>
  <c r="A137" i="18"/>
  <c r="B136" i="18"/>
  <c r="A136" i="18"/>
  <c r="B135" i="18"/>
  <c r="A135" i="18"/>
  <c r="B134" i="18"/>
  <c r="A134" i="18"/>
  <c r="B133" i="18"/>
  <c r="A133" i="18"/>
  <c r="B132" i="18"/>
  <c r="A132" i="18"/>
  <c r="B131" i="18"/>
  <c r="A131" i="18"/>
  <c r="B130" i="18"/>
  <c r="A130" i="18"/>
  <c r="B129" i="18"/>
  <c r="A129" i="18"/>
  <c r="B128" i="18"/>
  <c r="A128" i="18"/>
  <c r="B127" i="18"/>
  <c r="A127" i="18"/>
  <c r="B126" i="18"/>
  <c r="A126" i="18"/>
  <c r="B125" i="18"/>
  <c r="A125" i="18"/>
  <c r="B124" i="18"/>
  <c r="A124" i="18"/>
  <c r="B123" i="18"/>
  <c r="A123" i="18"/>
  <c r="B122" i="18"/>
  <c r="A122" i="18"/>
  <c r="B121" i="18"/>
  <c r="A121" i="18"/>
  <c r="B120" i="18"/>
  <c r="A120" i="18"/>
  <c r="B119" i="18"/>
  <c r="A119" i="18"/>
  <c r="B118" i="18"/>
  <c r="A118" i="18"/>
  <c r="B117" i="18"/>
  <c r="A117" i="18"/>
  <c r="B116" i="18"/>
  <c r="A116" i="18"/>
  <c r="B115" i="18"/>
  <c r="A115" i="18"/>
  <c r="B114" i="18"/>
  <c r="A114" i="18"/>
  <c r="B113" i="18"/>
  <c r="A113" i="18"/>
  <c r="B112" i="18"/>
  <c r="A112" i="18"/>
  <c r="B111" i="18"/>
  <c r="A111" i="18"/>
  <c r="B110" i="18"/>
  <c r="A110" i="18"/>
  <c r="B109" i="18"/>
  <c r="A109" i="18"/>
  <c r="B108" i="18"/>
  <c r="A108" i="18"/>
  <c r="B107" i="18"/>
  <c r="A107" i="18"/>
  <c r="B106" i="18"/>
  <c r="A106" i="18"/>
  <c r="B105" i="18"/>
  <c r="A105" i="18"/>
  <c r="B104" i="18"/>
  <c r="A104" i="18"/>
  <c r="B103" i="18"/>
  <c r="A103" i="18"/>
  <c r="B102" i="18"/>
  <c r="A102" i="18"/>
  <c r="B101" i="18"/>
  <c r="A101" i="18"/>
  <c r="B100" i="18"/>
  <c r="A100" i="18"/>
  <c r="B99" i="18"/>
  <c r="A99" i="18"/>
  <c r="B98" i="18"/>
  <c r="A98" i="18"/>
  <c r="B97" i="18"/>
  <c r="A97" i="18"/>
  <c r="B96" i="18"/>
  <c r="A96" i="18"/>
  <c r="B95" i="18"/>
  <c r="A95" i="18"/>
  <c r="B94" i="18"/>
  <c r="A94" i="18"/>
  <c r="B93" i="18"/>
  <c r="A93" i="18"/>
  <c r="B92" i="18"/>
  <c r="A92" i="18"/>
  <c r="B91" i="18"/>
  <c r="A91" i="18"/>
  <c r="B90" i="18"/>
  <c r="A90" i="18"/>
  <c r="B89" i="18"/>
  <c r="A89" i="18"/>
  <c r="B88" i="18"/>
  <c r="A88" i="18"/>
  <c r="B87" i="18"/>
  <c r="A87" i="18"/>
  <c r="B86" i="18"/>
  <c r="A86" i="18"/>
  <c r="B85" i="18"/>
  <c r="A85" i="18"/>
  <c r="B84" i="18"/>
  <c r="A84" i="18"/>
  <c r="B83" i="18"/>
  <c r="A83" i="18"/>
  <c r="B82" i="18"/>
  <c r="A82" i="18"/>
  <c r="B81" i="18"/>
  <c r="A81" i="18"/>
  <c r="B80" i="18"/>
  <c r="A80" i="18"/>
  <c r="B79" i="18"/>
  <c r="A79" i="18"/>
  <c r="B78" i="18"/>
  <c r="A78" i="18"/>
  <c r="B77" i="18"/>
  <c r="A77" i="18"/>
  <c r="B76" i="18"/>
  <c r="A76" i="18"/>
  <c r="B75" i="18"/>
  <c r="A75" i="18"/>
  <c r="B74" i="18"/>
  <c r="A74" i="18"/>
  <c r="B73" i="18"/>
  <c r="A73" i="18"/>
  <c r="B72" i="18"/>
  <c r="A72" i="18"/>
  <c r="B71" i="18"/>
  <c r="A71" i="18"/>
  <c r="B70" i="18"/>
  <c r="A70" i="18"/>
  <c r="B69" i="18"/>
  <c r="A69" i="18"/>
  <c r="B68" i="18"/>
  <c r="A68" i="18"/>
  <c r="B67" i="18"/>
  <c r="A67" i="18"/>
  <c r="B66" i="18"/>
  <c r="A66" i="18"/>
  <c r="B65" i="18"/>
  <c r="A65" i="18"/>
  <c r="B64" i="18"/>
  <c r="A64" i="18"/>
  <c r="B63" i="18"/>
  <c r="A63" i="18"/>
  <c r="B62" i="18"/>
  <c r="A62" i="18"/>
  <c r="B61" i="18"/>
  <c r="A61" i="18"/>
  <c r="B60" i="18"/>
  <c r="A60" i="18"/>
  <c r="B59" i="18"/>
  <c r="A59" i="18"/>
  <c r="B58" i="18"/>
  <c r="A58" i="18"/>
  <c r="B57" i="18"/>
  <c r="A57" i="18"/>
  <c r="B56" i="18"/>
  <c r="A56" i="18"/>
  <c r="B55" i="18"/>
  <c r="A55" i="18"/>
  <c r="B54" i="18"/>
  <c r="A54" i="18"/>
  <c r="B53" i="18"/>
  <c r="A53" i="18"/>
  <c r="B52" i="18"/>
  <c r="A52" i="18"/>
  <c r="B51" i="18"/>
  <c r="A51" i="18"/>
  <c r="B50" i="18"/>
  <c r="A50" i="18"/>
  <c r="B49" i="18"/>
  <c r="A49" i="18"/>
  <c r="B48" i="18"/>
  <c r="A48" i="18"/>
  <c r="B47" i="18"/>
  <c r="A47" i="18"/>
  <c r="B46" i="18"/>
  <c r="A46" i="18"/>
  <c r="B45" i="18"/>
  <c r="A45" i="18"/>
  <c r="B44" i="18"/>
  <c r="A44" i="18"/>
  <c r="B43" i="18"/>
  <c r="A43" i="18"/>
  <c r="B42" i="18"/>
  <c r="A42" i="18"/>
  <c r="B41" i="18"/>
  <c r="A41" i="18"/>
  <c r="B40" i="18"/>
  <c r="A40" i="18"/>
  <c r="B39" i="18"/>
  <c r="A39" i="18"/>
  <c r="B38" i="18"/>
  <c r="A38" i="18"/>
  <c r="B37" i="18"/>
  <c r="A37" i="18"/>
  <c r="B36" i="18"/>
  <c r="A36" i="18"/>
  <c r="B35" i="18"/>
  <c r="A35" i="18"/>
  <c r="B34" i="18"/>
  <c r="A34" i="18"/>
  <c r="B33" i="18"/>
  <c r="A33" i="18"/>
  <c r="B32" i="18"/>
  <c r="A32" i="18"/>
  <c r="B31" i="18"/>
  <c r="A31" i="18"/>
  <c r="B30" i="18"/>
  <c r="A30" i="18"/>
  <c r="B29" i="18"/>
  <c r="A29" i="18"/>
  <c r="B28" i="18"/>
  <c r="A28" i="18"/>
  <c r="B27" i="18"/>
  <c r="A27" i="18"/>
  <c r="B26" i="18"/>
  <c r="A26" i="18"/>
  <c r="B25" i="18"/>
  <c r="A25" i="18"/>
  <c r="B24" i="18"/>
  <c r="A24" i="18"/>
  <c r="B23" i="18"/>
  <c r="A23" i="18"/>
  <c r="B22" i="18"/>
  <c r="A22" i="18"/>
  <c r="B21" i="18"/>
  <c r="A21" i="18"/>
  <c r="B20" i="18"/>
  <c r="A20" i="18"/>
  <c r="B19" i="18"/>
  <c r="A19" i="18"/>
  <c r="B18" i="18"/>
  <c r="A18" i="18"/>
  <c r="B17" i="18"/>
  <c r="A17" i="18"/>
  <c r="B16" i="18"/>
  <c r="A16" i="18"/>
  <c r="B15" i="18"/>
  <c r="A15" i="18"/>
  <c r="B14" i="18"/>
  <c r="A14" i="18"/>
  <c r="B13" i="18"/>
  <c r="A13" i="18"/>
  <c r="B12" i="18"/>
  <c r="A12" i="18"/>
  <c r="B11" i="18"/>
  <c r="A11" i="18"/>
  <c r="B10" i="18"/>
  <c r="A10" i="18"/>
  <c r="B9" i="18"/>
  <c r="A9" i="18"/>
  <c r="B8" i="18"/>
  <c r="A8" i="18"/>
  <c r="B7" i="18"/>
  <c r="A7" i="18"/>
  <c r="B6" i="18"/>
  <c r="A6" i="18"/>
  <c r="B5" i="18"/>
  <c r="A5" i="18"/>
  <c r="B4" i="18"/>
  <c r="A4" i="18"/>
</calcChain>
</file>

<file path=xl/sharedStrings.xml><?xml version="1.0" encoding="utf-8"?>
<sst xmlns="http://schemas.openxmlformats.org/spreadsheetml/2006/main" count="1371" uniqueCount="335">
  <si>
    <t>Title</t>
  </si>
  <si>
    <t>Appearance</t>
  </si>
  <si>
    <t>Comfort and Convenience</t>
  </si>
  <si>
    <t>Windows &amp; Glass</t>
  </si>
  <si>
    <t>Climate</t>
  </si>
  <si>
    <t>Pre-Collision Assist with Automatic Emergency Braking</t>
  </si>
  <si>
    <t>Entertainment Systems</t>
  </si>
  <si>
    <t>Seating</t>
  </si>
  <si>
    <t>Packages</t>
  </si>
  <si>
    <t>Ford Co-Pilot360™ Technology</t>
  </si>
  <si>
    <t>Standard Features</t>
  </si>
  <si>
    <t>Power</t>
  </si>
  <si>
    <t>Handling</t>
  </si>
  <si>
    <t>Engine Block Heater</t>
  </si>
  <si>
    <t>Wheels &amp; Tires</t>
  </si>
  <si>
    <t>Safety</t>
  </si>
  <si>
    <t>AdvanceTrac® with RSC® (Roll Stability Control™)</t>
  </si>
  <si>
    <t>Tire Pressure Monitoring System (TPMS)</t>
  </si>
  <si>
    <t>Security</t>
  </si>
  <si>
    <t>SOS Post-Crash Alert System™</t>
  </si>
  <si>
    <t>Dual-Zone Electronic Automatic Temperature Control</t>
  </si>
  <si>
    <t>Lane-Keeping System</t>
  </si>
  <si>
    <t>Rear View Camera</t>
  </si>
  <si>
    <t>MyKey®</t>
  </si>
  <si>
    <t>Standard</t>
  </si>
  <si>
    <t>Column2</t>
  </si>
  <si>
    <t>Column3</t>
  </si>
  <si>
    <t>Column4</t>
  </si>
  <si>
    <t>Optional</t>
  </si>
  <si>
    <t>911 Assist®</t>
  </si>
  <si>
    <t>Sub Category</t>
  </si>
  <si>
    <t>XL</t>
  </si>
  <si>
    <t>Autolamp - automatic on/off headlamps</t>
  </si>
  <si>
    <t>Bumper, Front - Steel, Frame-Mounted</t>
  </si>
  <si>
    <t>Bumper, Front - Black</t>
  </si>
  <si>
    <t>Bumper, Front - Chrome</t>
  </si>
  <si>
    <t>Bumper, Rear - Steel</t>
  </si>
  <si>
    <t>Bumper, Rear - Black</t>
  </si>
  <si>
    <t>Bumper, Rear - Chrome</t>
  </si>
  <si>
    <t>Cargo lamp, integrated with center high-mounted stop lamp (CHMSL) - Halogen</t>
  </si>
  <si>
    <t>Daytime Running Lamps - Halogen</t>
  </si>
  <si>
    <t>Easy Fuel® capless fuel filler</t>
  </si>
  <si>
    <t>Headlamps - Halogen</t>
  </si>
  <si>
    <t>Fog lamps - Halogen</t>
  </si>
  <si>
    <t>Grille - Black Mesh with Black Surround</t>
  </si>
  <si>
    <t>Tow hooks - Front, two (4x2) (Optional with FX2 Package Only)</t>
  </si>
  <si>
    <t>Tow hooks - Front, two (4x4)</t>
  </si>
  <si>
    <t>Hooks - Cargo box tie-down (4)</t>
  </si>
  <si>
    <t>Bash Plate - Exposed Steel (4x4)</t>
  </si>
  <si>
    <t>Protection</t>
  </si>
  <si>
    <t>Paint Protection Film</t>
  </si>
  <si>
    <t>Handles, door - Black</t>
  </si>
  <si>
    <t>Exhaust - Single Rear</t>
  </si>
  <si>
    <t>Side Mirrors - Manual Folding, Manual Glass with Integrated Spotter Mirror</t>
  </si>
  <si>
    <t>Side Mirrors - Manual Folding, Power Glass</t>
  </si>
  <si>
    <t>Side Mirrors - Skull Caps - Black</t>
  </si>
  <si>
    <t>Running Boards - 5" Rectangular, Black</t>
  </si>
  <si>
    <t>Tailgate - Manual Locking</t>
  </si>
  <si>
    <t>Tailgate - Power Locking</t>
  </si>
  <si>
    <t>Wheel-lip Moldings - Black</t>
  </si>
  <si>
    <t>Wheel-lip Moldings - Body Color</t>
  </si>
  <si>
    <t>Spare Tire Carrier - Rear underframe</t>
  </si>
  <si>
    <t>Window - Rear - Fixed glass</t>
  </si>
  <si>
    <t>Window - Rear - Manual sliding with privacy glass and defroster</t>
  </si>
  <si>
    <t>Windows - First-row - Power, one-touch up/down driver side</t>
  </si>
  <si>
    <t>Windows - Second-row - Fixed (SuperCab)</t>
  </si>
  <si>
    <t>Windows - Second-row - Power (SuperCrew®)</t>
  </si>
  <si>
    <t>Manual air conditioning, Single Zone</t>
  </si>
  <si>
    <t>110-volt Power Outlet - Rear Flow-Through Console</t>
  </si>
  <si>
    <t>2.3" Productivity Screen in Instrument Cluster</t>
  </si>
  <si>
    <t>4.2" Color Productivity Screen in Instrument Cluster</t>
  </si>
  <si>
    <r>
      <t>3.5" Center Stack with SYNC</t>
    </r>
    <r>
      <rPr>
        <sz val="12"/>
        <color theme="1"/>
        <rFont val="Calibri"/>
        <family val="2"/>
      </rPr>
      <t>®</t>
    </r>
  </si>
  <si>
    <r>
      <t>4.2" LCD Display in Center Stack with SYNC</t>
    </r>
    <r>
      <rPr>
        <sz val="12"/>
        <color theme="1"/>
        <rFont val="Calibri"/>
        <family val="2"/>
      </rPr>
      <t>®</t>
    </r>
  </si>
  <si>
    <t xml:space="preserve">8" LCD Capacitive Touchscreen in Center Stack with available SYNC® 3 </t>
  </si>
  <si>
    <t>BLIS® (Blind Spot Information System) with Cross-Traffic Alert and Trailer Coverage</t>
  </si>
  <si>
    <t>Automatic high beams</t>
  </si>
  <si>
    <t>Black vinyl floor covering</t>
  </si>
  <si>
    <t>Color-coordinated carpet with carpeted floor mats</t>
  </si>
  <si>
    <t>Floor Liners - Tray Style (with Carpet Mats)</t>
  </si>
  <si>
    <t>Floor Liners - Tray Style (without Carpet Mats)</t>
  </si>
  <si>
    <t>Locking Glove Box</t>
  </si>
  <si>
    <t>Cruise control</t>
  </si>
  <si>
    <t>Dome light</t>
  </si>
  <si>
    <t>Fade-to-off interior lighting</t>
  </si>
  <si>
    <t>Flow-through center console with floor shifter</t>
  </si>
  <si>
    <t>Grab handles (A-Pillar) - Front, Passenger-side</t>
  </si>
  <si>
    <t>Intermittent windshield wipers</t>
  </si>
  <si>
    <t>Outside temperature display</t>
  </si>
  <si>
    <t xml:space="preserve">Power Door Locks </t>
  </si>
  <si>
    <t>Power door locks with flip key and integrated key transmitter keyless entry including auto-lock</t>
  </si>
  <si>
    <t>Powerpoint, 12v - Front, (2) Rear (1)</t>
  </si>
  <si>
    <t>Rearview mirror, Auto-dimming</t>
  </si>
  <si>
    <t>Rearview mirror, Day/Night</t>
  </si>
  <si>
    <t>Reverse Sensing System</t>
  </si>
  <si>
    <t>Steering wheel - Black urethane</t>
  </si>
  <si>
    <t>Steering wheel, manual tilt/telescoping</t>
  </si>
  <si>
    <t>Visors - Driver Side and Passenger Side</t>
  </si>
  <si>
    <t xml:space="preserve">AM/FM stereo radio w/Bluetooth Pass Thru and 4 Speakers  </t>
  </si>
  <si>
    <t>AM/FM stereo radio with 6 Audio Speakers</t>
  </si>
  <si>
    <t>SiriusXM® Satellite Radio</t>
  </si>
  <si>
    <t>FordPass Connect™ with 4G LTE Wi-Fi Hotspot</t>
  </si>
  <si>
    <t>SYNC®</t>
  </si>
  <si>
    <t xml:space="preserve">911 Assist® </t>
  </si>
  <si>
    <t>Applink®</t>
  </si>
  <si>
    <t>Smart-Charging USB port - one (1)</t>
  </si>
  <si>
    <t>SYNC® 3</t>
  </si>
  <si>
    <t xml:space="preserve">Seats - Front - Cloth Bucket, 8-way manual driver/6-way manual passenger adjustments </t>
  </si>
  <si>
    <t>Seats - Front - Vinyl Bucket, 8-way manual driver/6-way manual passenger adjustments</t>
  </si>
  <si>
    <t>Seats - Front - Premium Cloth Bucket, 8-way manual driver/6-way manual passenger adjustments</t>
  </si>
  <si>
    <t>Seats - Rear - Cloth Bench Seat with armrest and under seat storage (SuperCrew®)</t>
  </si>
  <si>
    <t>Seats - Rear - Cloth Seats with Removable Cushions and under seat storage (SuperCab)</t>
  </si>
  <si>
    <t>XL Chrome Appearance Package</t>
  </si>
  <si>
    <t>STX Appearance Package</t>
  </si>
  <si>
    <t>STX Special Edition Package</t>
  </si>
  <si>
    <t>Bed Utility Package</t>
  </si>
  <si>
    <t>FX4 Off-Road Package</t>
  </si>
  <si>
    <t>FX2 Package</t>
  </si>
  <si>
    <t>Trailer Tow Package</t>
  </si>
  <si>
    <t>Equipment Group 100A</t>
  </si>
  <si>
    <t>Value Packages</t>
  </si>
  <si>
    <t>Equipment Group 101A</t>
  </si>
  <si>
    <t xml:space="preserve">2.3L EcoBoost® Engine with Auto Start-Stop Technology </t>
  </si>
  <si>
    <t>10-speed SelectShift® automatic transmission</t>
  </si>
  <si>
    <t>Fuel Tank - 18-gallon</t>
  </si>
  <si>
    <t>4x2</t>
  </si>
  <si>
    <t>4x4</t>
  </si>
  <si>
    <t>Electronic-Shift-On-the-Fly (ESOF) (4x4 only)</t>
  </si>
  <si>
    <t>Axle, Front - Independent Front Suspension</t>
  </si>
  <si>
    <t>Brakes - 4-Wheel Disc with ABS</t>
  </si>
  <si>
    <t xml:space="preserve">Electronic Power-Assist Steering (EPAS) </t>
  </si>
  <si>
    <t>Electronic-Locking Rear Differential</t>
  </si>
  <si>
    <t>Fully-boxed, high-strength steel frame</t>
  </si>
  <si>
    <t>Suspension - Front - Independent short long arm and solid stabilizer bar</t>
  </si>
  <si>
    <t>Suspension - Rear - Hotchkiss-type non-independent live, parabolic leaf springs</t>
  </si>
  <si>
    <t>Shock Absorbers, Front - Gas</t>
  </si>
  <si>
    <t>Shock Absorbers, Rear - Gas</t>
  </si>
  <si>
    <t>Springs, Front - Coil</t>
  </si>
  <si>
    <t>Springs, Rear - Leaf, two-stage linear rate</t>
  </si>
  <si>
    <t>Terrain Management System™ with four selectable drive modes</t>
  </si>
  <si>
    <r>
      <t>Ford Trail Control</t>
    </r>
    <r>
      <rPr>
        <sz val="12"/>
        <color theme="1"/>
        <rFont val="Calibri"/>
        <family val="2"/>
      </rPr>
      <t>®</t>
    </r>
  </si>
  <si>
    <t>Trailer Sway Control</t>
  </si>
  <si>
    <t>Trailer Towing - 4-pin wiring, ball mounting provisions in rear bumper</t>
  </si>
  <si>
    <t>16-inch Silver Steel Wheels</t>
  </si>
  <si>
    <t>17-inch Silver-Painted Aluminum Wheels</t>
  </si>
  <si>
    <t>17-inch Gloss Black Aluminum Wheels - STX Special Edition</t>
  </si>
  <si>
    <t>255/70R16 BSW all-season tires</t>
  </si>
  <si>
    <t>255/65R17 BSW all-season tires (4x2)</t>
  </si>
  <si>
    <t>255/65R17 BSW all-terrain tires (4x4)</t>
  </si>
  <si>
    <t>265/65R17 OWL all-terrain tires</t>
  </si>
  <si>
    <t>265/65R17 OWL all-terrain tires (4x4)</t>
  </si>
  <si>
    <t>Airbags - Front, Driver and passenger</t>
  </si>
  <si>
    <t>Airbags - Front, Driver and passenger seat-mounted side</t>
  </si>
  <si>
    <t>Airbags - Safety Canopy® side curtains</t>
  </si>
  <si>
    <t>Curve Control</t>
  </si>
  <si>
    <t>Four-Wheel Anti-Lock Brakes</t>
  </si>
  <si>
    <t>Child Seat Tether Anchors</t>
  </si>
  <si>
    <t xml:space="preserve">Safety belts - Active Restraint System (ARS), three-point manual lap/shoulder belts with pretensioners and energy management retractors on outside front positions; and height adjusters (SuperCrew)
</t>
  </si>
  <si>
    <t>Child-proof rear-door-locks (SuperCrew®)</t>
  </si>
  <si>
    <t>Perimeter anti-theft alarm</t>
  </si>
  <si>
    <t>Remote Keyless Entry System</t>
  </si>
  <si>
    <t>SecuriLock® passive anti-theft system</t>
  </si>
  <si>
    <t>Exterior</t>
  </si>
  <si>
    <r>
      <t>Tough Bed</t>
    </r>
    <r>
      <rPr>
        <sz val="12"/>
        <color theme="1"/>
        <rFont val="Calibri"/>
        <family val="2"/>
      </rPr>
      <t>®</t>
    </r>
    <r>
      <rPr>
        <sz val="11"/>
        <color theme="1"/>
        <rFont val="Calibri"/>
        <family val="2"/>
        <scheme val="minor"/>
      </rPr>
      <t xml:space="preserve"> Spray-In Bedliner</t>
    </r>
  </si>
  <si>
    <t>Splash Guards/Mud Flaps</t>
  </si>
  <si>
    <t>SecuriCode™ keyless entry keypad, driver's side, body color</t>
  </si>
  <si>
    <t xml:space="preserve">Pickup Box Extender </t>
  </si>
  <si>
    <t>Pixelated Graphics - Gray</t>
  </si>
  <si>
    <t>Pixelated Graphics - Black</t>
  </si>
  <si>
    <t>Factory Invoiced</t>
  </si>
  <si>
    <t>Tonneau Pickup Box Cover - Hard</t>
  </si>
  <si>
    <t>Tonneau Pickup Box Cover - Soft folding</t>
  </si>
  <si>
    <t>Tonneau Pickup Box Cover - Retractable</t>
  </si>
  <si>
    <t>Floor Liner - Tray Style (Includes Carpet Mats)</t>
  </si>
  <si>
    <t>Floor Liner - Tray Style (Deletes Carpet Mats)</t>
  </si>
  <si>
    <t>Aluminum Crossbed Toolbox - Black, by Weather Guard (Defender Series)</t>
  </si>
  <si>
    <t>Tough Bed® Spray-In Bedliner</t>
  </si>
  <si>
    <t>Splash Guards and Mud Flaps</t>
  </si>
  <si>
    <t>Pickup Box Extender</t>
  </si>
  <si>
    <t>Interior</t>
  </si>
  <si>
    <t>Black Mesh Grille with Black Surround</t>
  </si>
  <si>
    <t>Manual Mirrors</t>
  </si>
  <si>
    <t>Wheel-Lip Moldings - Black</t>
  </si>
  <si>
    <t>Bumper, Front - Chrome (Chrome Appearance Package)</t>
  </si>
  <si>
    <t>Bumper, Rear - Chrome (Chrome Appearance Package)</t>
  </si>
  <si>
    <t>Bash Plate - Exposed Steel (FX4)</t>
  </si>
  <si>
    <t>Manual-Folding Side Mirrors with Dual Power Glass</t>
  </si>
  <si>
    <t>5-Inch Black Rectangular Running Boards</t>
  </si>
  <si>
    <t>Rear Parking Sensor</t>
  </si>
  <si>
    <t>Manual-Sliding Glass Rear Window</t>
  </si>
  <si>
    <t>3.5" Center Stack</t>
  </si>
  <si>
    <t>Pre-Collision Assist® with Automatic Emergency Braking</t>
  </si>
  <si>
    <t>Power Door Locks</t>
  </si>
  <si>
    <t>110-Volt Power Outlet</t>
  </si>
  <si>
    <t>4.2" LCD Display in Center Stack with SYNC®</t>
  </si>
  <si>
    <t>8" LCD Capacitive Touchscreen in Center Stack with available SYNC® 3</t>
  </si>
  <si>
    <t>BLIS® (Blind Spot Information System)</t>
  </si>
  <si>
    <t>AM/FM stereo radio w/Bluetooth Pass Thru and 4 Speakers  </t>
  </si>
  <si>
    <t>FORDPASS® Connect</t>
  </si>
  <si>
    <t>Seats - Front - Cloth Bucket, 8-way manual driver/6-way manual passenger adjustments</t>
  </si>
  <si>
    <t>FX4® Off-Road Package (4x4 only)</t>
  </si>
  <si>
    <t>FX2® Package (4x2 only)</t>
  </si>
  <si>
    <t>2.3L EcoBoost® Engine with Auto Start-Stop Technology</t>
  </si>
  <si>
    <t>10-speed SelectShift® Automatic Transmission</t>
  </si>
  <si>
    <t>Electronic-Shift-On-the-Fly (ESOF) (4X4)</t>
  </si>
  <si>
    <t>Electronic Power-Assisted Steering (EPAS)</t>
  </si>
  <si>
    <t>Suspension - Front - Independent</t>
  </si>
  <si>
    <t>Suspension - Rear - leaf springs</t>
  </si>
  <si>
    <t>Trailer Towing - 4-pin wiring, ball mounting provision in rear bumper</t>
  </si>
  <si>
    <t>Ford Trail Control®</t>
  </si>
  <si>
    <t>16” Silver Steel Wheels</t>
  </si>
  <si>
    <t>17” Silver-Painted Aluminum Wheels</t>
  </si>
  <si>
    <t>AdvanceTrac™ with RSC® (Roll Stability Control™)</t>
  </si>
  <si>
    <t>Safety belts - Active Restraint System (ARS), three-point manual lap/shoulder belts with pretensioners; and height adjusters (SuperCrew)</t>
  </si>
  <si>
    <t>FindOut</t>
  </si>
  <si>
    <t>Columna1</t>
  </si>
  <si>
    <t>Formula buscar</t>
  </si>
  <si>
    <t>Formula coincidir</t>
  </si>
  <si>
    <t xml:space="preserve">Sub Category </t>
  </si>
  <si>
    <t>Active</t>
  </si>
  <si>
    <t>Interior Features</t>
  </si>
  <si>
    <t>Intelligent Adaptive Cruise Control with Stop-and-Go, Lane Centering and Speed Sign Recognition</t>
  </si>
  <si>
    <t>Pre-Collision Assist with Automatic Emergency Braking (AEB), Pedestrian Detection, Forward Collision Warning and Dynamic Brake Support</t>
  </si>
  <si>
    <t>Lane-Keeping System (includes Lane-Keeping Assist, Lane-Keeping Alert and Driver Alert)</t>
  </si>
  <si>
    <t>Connected Navigation (with 1 year of connectivity)</t>
  </si>
  <si>
    <t>Evasive Steering Assist</t>
  </si>
  <si>
    <t>Exterior Features</t>
  </si>
  <si>
    <t xml:space="preserve">SiriusXM® with 360L </t>
  </si>
  <si>
    <t>Rear Parking Sensors</t>
  </si>
  <si>
    <t>360-Degree Camera with Split View</t>
  </si>
  <si>
    <t>BLIS® (Blind Spot Information System) with Rear Cross-Traffic Braking</t>
  </si>
  <si>
    <t>Power and Handling</t>
  </si>
  <si>
    <t xml:space="preserve">Curve Control </t>
  </si>
  <si>
    <t>Electronic Traction Control</t>
  </si>
  <si>
    <t>Auto High-Beam Headlamps</t>
  </si>
  <si>
    <t>Torque Vectoring Control</t>
  </si>
  <si>
    <t xml:space="preserve">Keyless-Keysets – Passive Keys, Two (2) </t>
  </si>
  <si>
    <t xml:space="preserve">Intelligent Access with Push-Button Start </t>
  </si>
  <si>
    <t>SecuriCode™ Keyless-Entry Keypad</t>
  </si>
  <si>
    <t xml:space="preserve">Remote Start System </t>
  </si>
  <si>
    <t>SYNC® 4 with 8" LCD Capacitive Touchscreen</t>
  </si>
  <si>
    <t>SYNC® 4 with 13.2" LCD Capacitive Touchscreen</t>
  </si>
  <si>
    <t>Wireless Apple CarPlay® and Android Auto™ Compatibility</t>
  </si>
  <si>
    <r>
      <t>FordPass</t>
    </r>
    <r>
      <rPr>
        <vertAlign val="superscript"/>
        <sz val="12"/>
        <color theme="1"/>
        <rFont val="Arial"/>
        <family val="2"/>
      </rPr>
      <t xml:space="preserve">® </t>
    </r>
    <r>
      <rPr>
        <sz val="12"/>
        <color theme="1"/>
        <rFont val="Arial"/>
        <family val="2"/>
      </rPr>
      <t>Connect with 4G LTE Wi-Fi Hotspot</t>
    </r>
  </si>
  <si>
    <t>Piano Black Grille with Chrome Strip</t>
  </si>
  <si>
    <t>LED Reflector Headlamps with LED Signature Lighting</t>
  </si>
  <si>
    <t>Body-color rear spoiler</t>
  </si>
  <si>
    <t>Black Sideview Mirror Caps</t>
  </si>
  <si>
    <t xml:space="preserve"> Body Color Sideview Mirror Caps</t>
  </si>
  <si>
    <t>Mirrors, Sideview - Heated Glass</t>
  </si>
  <si>
    <t>Manual day/night rearview mirror</t>
  </si>
  <si>
    <t>Driver's Seat and Driver/Front Passenger Sideview Mirrors with Memory</t>
  </si>
  <si>
    <t>Chrome Upper Window Molding with Black Beltline Molding</t>
  </si>
  <si>
    <t xml:space="preserve">Body Color Door Handles </t>
  </si>
  <si>
    <t xml:space="preserve">Autolamp (Automatic On/Off) with Headlamp Courtesy Delay </t>
  </si>
  <si>
    <t>Configurable Daytime Running Lamps (DRL)</t>
  </si>
  <si>
    <t xml:space="preserve">LED Signature Lighting </t>
  </si>
  <si>
    <t>Black molded-in-color lower bodyside cladding</t>
  </si>
  <si>
    <t>Power Liftgate</t>
  </si>
  <si>
    <t>17" Shadow Silver-painted Aluminum Wheels</t>
  </si>
  <si>
    <t>Mini Steel Spare Wheel</t>
  </si>
  <si>
    <t>Dual chrome exhaust tips</t>
  </si>
  <si>
    <t xml:space="preserve">Black Roof Rack Side Rails </t>
  </si>
  <si>
    <t xml:space="preserve">Privacy Glass - 2nd Row Side and Liftgate </t>
  </si>
  <si>
    <t>Power Windows with Driver's Front One-Touch Down (Driver's Only)</t>
  </si>
  <si>
    <t>Front variable intermittent/continuous wipers</t>
  </si>
  <si>
    <t>Rear Fixed-intermittent/continuous wiper/washer</t>
  </si>
  <si>
    <t>Carpeted floor mats, front and rear</t>
  </si>
  <si>
    <t>Floor Liners with Carpet Mats</t>
  </si>
  <si>
    <t>Floor Liners without Carpet Mats</t>
  </si>
  <si>
    <t xml:space="preserve">Cargo Mat </t>
  </si>
  <si>
    <t>Center floor console with armrest</t>
  </si>
  <si>
    <t>Rear Center Fold-Down Armrest</t>
  </si>
  <si>
    <t xml:space="preserve">Cup holders, 8 total </t>
  </si>
  <si>
    <t xml:space="preserve">Driver's Side Footrest </t>
  </si>
  <si>
    <t>Selectable Drive Modes</t>
  </si>
  <si>
    <t>Sliding Sun Visor with Illuminated Vanity Mirrors (Driver and Front Passenger)</t>
  </si>
  <si>
    <t>Easy Access Cargo Shade</t>
  </si>
  <si>
    <t>Coat hooks (2), second row</t>
  </si>
  <si>
    <t>Grab handles, Front Passenger. Second Row-two</t>
  </si>
  <si>
    <t>Wireless Charging Pad</t>
  </si>
  <si>
    <t xml:space="preserve">Outside temperature display </t>
  </si>
  <si>
    <t>Center Console with Convenient Media Bin</t>
  </si>
  <si>
    <t>Compass</t>
  </si>
  <si>
    <t>Head Restraints - two-way manual front and rear</t>
  </si>
  <si>
    <t xml:space="preserve">Ice Blue® Instrument Panel Cluster Lighting </t>
  </si>
  <si>
    <t xml:space="preserve">Second Row Dome Light </t>
  </si>
  <si>
    <t>Front Map Lights</t>
  </si>
  <si>
    <t>Message center and trip computer</t>
  </si>
  <si>
    <t>8'' Color LCD Instrument cluster</t>
  </si>
  <si>
    <t>12.3'' Full Digital Instrument Cluster</t>
  </si>
  <si>
    <t>Manual tilt and telescoping column steering wheel</t>
  </si>
  <si>
    <t>Cruise Control – Steering Wheel Mounted Controls</t>
  </si>
  <si>
    <t xml:space="preserve">Audio Steering Wheel Mounted Controls </t>
  </si>
  <si>
    <t>Premium-wrapped steering wheel</t>
  </si>
  <si>
    <t>Premium-wrapped heated steering wheel</t>
  </si>
  <si>
    <t>Electric Power-Assisted Steering (EPAS)</t>
  </si>
  <si>
    <t>Rotary gear shift dial</t>
  </si>
  <si>
    <t>Powerpoints – (2) First Row- (1) USB-A and (1) USB-C</t>
  </si>
  <si>
    <t xml:space="preserve">Powerpoints –  (2) Rear – Smart Charging USB Outlets </t>
  </si>
  <si>
    <t>Panoramic Vista Roof®</t>
  </si>
  <si>
    <t>AM/FM stereo with 6 speakers</t>
  </si>
  <si>
    <r>
      <t>B&amp;O</t>
    </r>
    <r>
      <rPr>
        <vertAlign val="superscript"/>
        <sz val="12"/>
        <color theme="1"/>
        <rFont val="Arial"/>
        <family val="2"/>
      </rPr>
      <t>®</t>
    </r>
    <r>
      <rPr>
        <sz val="12"/>
        <color theme="1"/>
        <rFont val="Arial"/>
        <family val="2"/>
      </rPr>
      <t xml:space="preserve"> Sound System by Bang &amp; Olufsen</t>
    </r>
    <r>
      <rPr>
        <vertAlign val="superscript"/>
        <sz val="12"/>
        <color theme="1"/>
        <rFont val="Arial"/>
        <family val="2"/>
      </rPr>
      <t>®</t>
    </r>
    <r>
      <rPr>
        <sz val="12"/>
        <color theme="1"/>
        <rFont val="Arial"/>
        <family val="2"/>
      </rPr>
      <t>, 10-Speakers including subwoofer</t>
    </r>
  </si>
  <si>
    <t xml:space="preserve">Unique cloth front bucket seats </t>
  </si>
  <si>
    <t>Heated Front Row Seats</t>
  </si>
  <si>
    <t>4-way Manual Passenger Seat</t>
  </si>
  <si>
    <t>6-way Power Passenger</t>
  </si>
  <si>
    <t>8-way Power Driver Seat</t>
  </si>
  <si>
    <t>10-way Power Driver Seat</t>
  </si>
  <si>
    <t>Map pocket, passenger seat-back</t>
  </si>
  <si>
    <t>Second-Row Sliding Seats, 60/40 Split-Fold Down</t>
  </si>
  <si>
    <t>Cargo Tie-Down Hooks– two (2), Grocery – two (2) </t>
  </si>
  <si>
    <t>Glove Box</t>
  </si>
  <si>
    <t>Overhead Console with Sunglasses Storage</t>
  </si>
  <si>
    <t>Front-wheel drive</t>
  </si>
  <si>
    <t>All-Wheel Drive with AWD Disconnect</t>
  </si>
  <si>
    <t xml:space="preserve">Four-Wheel Disc Brakes with Anti-Lock Brake System (ABS) </t>
  </si>
  <si>
    <t>Post-Collision Braking</t>
  </si>
  <si>
    <t>8-Speed Automatic Transmission</t>
  </si>
  <si>
    <t>1.5L EcoBoost® Engine Auto Start-Stop Technology</t>
  </si>
  <si>
    <t>Electric Parking Brake</t>
  </si>
  <si>
    <t>Personal Safety System™ with dual-stage driver and front-passenger airbags</t>
  </si>
  <si>
    <t xml:space="preserve">Driver Knee Airbag </t>
  </si>
  <si>
    <t>Front seat-mounted side-impact airbags</t>
  </si>
  <si>
    <t xml:space="preserve">Safety Canopy® System </t>
  </si>
  <si>
    <t xml:space="preserve">Belt-Minder® (Front and Second Row) </t>
  </si>
  <si>
    <t>Front Row Height Adjustable Retractable Safety Belts with Three-Point on all five (5) Seating Positions</t>
  </si>
  <si>
    <t xml:space="preserve">Lower Anchors and Tether Anchors for Children (LATCH) </t>
  </si>
  <si>
    <t xml:space="preserve">SecuriLock® Passive Anti-Theft System </t>
  </si>
  <si>
    <t xml:space="preserve">Ford Co-Pilot360™ </t>
  </si>
  <si>
    <t>Cold Weather Package</t>
  </si>
  <si>
    <t>Technology Package #1</t>
  </si>
  <si>
    <t>Technology Package #2</t>
  </si>
  <si>
    <t>Equipment Group 200A</t>
  </si>
  <si>
    <t>Column1</t>
  </si>
  <si>
    <t>Accessories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</si>
</sst>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211D1E"/>
      <name val="Calibri"/>
      <family val="2"/>
    </font>
    <font>
      <sz val="11"/>
      <color rgb="FF211D1E"/>
      <name val="Calibri"/>
      <family val="2"/>
      <scheme val="minor"/>
    </font>
    <font>
      <b/>
      <sz val="12"/>
      <color theme="1"/>
      <name val="Corbel"/>
      <family val="2"/>
    </font>
    <font>
      <sz val="12"/>
      <color theme="1"/>
      <name val="Corbel"/>
      <family val="2"/>
    </font>
    <font>
      <sz val="12"/>
      <color theme="1"/>
      <name val="Arial"/>
      <family val="2"/>
    </font>
    <font>
      <vertAlign val="superscript"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4">
    <xf numFmtId="0" fontId="0" fillId="0" borderId="0"/>
    <xf numFmtId="0" fontId="2" fillId="4" borderId="0">
      <alignment wrapText="1"/>
    </xf>
    <xf numFmtId="0" fontId="2" fillId="4" borderId="0">
      <alignment wrapText="1"/>
    </xf>
    <xf numFmtId="0" fontId="2" fillId="4" borderId="0">
      <alignment wrapText="1"/>
    </xf>
  </cellStyleXfs>
  <cellXfs count="54">
    <xf numFmtId="0" fontId="0" fillId="0" borderId="0" xfId="0"/>
    <xf numFmtId="0" fontId="0" fillId="0" borderId="1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 wrapText="1"/>
    </xf>
    <xf numFmtId="0" fontId="0" fillId="5" borderId="1" xfId="0" applyFill="1" applyBorder="1" applyAlignment="1">
      <alignment wrapText="1"/>
    </xf>
    <xf numFmtId="0" fontId="0" fillId="0" borderId="1" xfId="0" applyBorder="1"/>
    <xf numFmtId="0" fontId="4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wrapText="1"/>
    </xf>
    <xf numFmtId="0" fontId="4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10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/>
    </xf>
    <xf numFmtId="0" fontId="4" fillId="0" borderId="1" xfId="0" quotePrefix="1" applyFont="1" applyBorder="1" applyAlignment="1">
      <alignment horizontal="center" vertical="center"/>
    </xf>
    <xf numFmtId="0" fontId="0" fillId="3" borderId="1" xfId="0" applyFill="1" applyBorder="1"/>
    <xf numFmtId="0" fontId="4" fillId="3" borderId="1" xfId="0" applyFont="1" applyFill="1" applyBorder="1" applyAlignment="1">
      <alignment horizontal="center" vertical="center"/>
    </xf>
    <xf numFmtId="0" fontId="6" fillId="3" borderId="0" xfId="0" applyFont="1" applyFill="1"/>
    <xf numFmtId="0" fontId="6" fillId="3" borderId="0" xfId="0" applyFont="1" applyFill="1" applyAlignment="1">
      <alignment wrapText="1"/>
    </xf>
    <xf numFmtId="0" fontId="5" fillId="2" borderId="0" xfId="0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7" borderId="2" xfId="0" applyFont="1" applyFill="1" applyBorder="1"/>
    <xf numFmtId="0" fontId="0" fillId="7" borderId="3" xfId="0" applyFont="1" applyFill="1" applyBorder="1"/>
    <xf numFmtId="0" fontId="0" fillId="0" borderId="2" xfId="0" applyFont="1" applyBorder="1"/>
    <xf numFmtId="0" fontId="0" fillId="0" borderId="3" xfId="0" applyFont="1" applyBorder="1"/>
    <xf numFmtId="0" fontId="5" fillId="8" borderId="2" xfId="0" applyFont="1" applyFill="1" applyBorder="1"/>
    <xf numFmtId="0" fontId="5" fillId="8" borderId="3" xfId="0" applyFont="1" applyFill="1" applyBorder="1"/>
    <xf numFmtId="0" fontId="13" fillId="0" borderId="1" xfId="0" applyFont="1" applyBorder="1" applyAlignment="1">
      <alignment horizontal="center" vertical="top" wrapText="1"/>
    </xf>
    <xf numFmtId="0" fontId="13" fillId="0" borderId="1" xfId="0" applyFont="1" applyBorder="1" applyAlignment="1">
      <alignment horizontal="left" wrapText="1"/>
    </xf>
    <xf numFmtId="0" fontId="13" fillId="3" borderId="1" xfId="0" applyFont="1" applyFill="1" applyBorder="1" applyAlignment="1">
      <alignment horizontal="center" wrapText="1"/>
    </xf>
    <xf numFmtId="0" fontId="13" fillId="0" borderId="1" xfId="0" applyFont="1" applyBorder="1" applyAlignment="1">
      <alignment horizontal="center" wrapText="1"/>
    </xf>
    <xf numFmtId="0" fontId="13" fillId="2" borderId="1" xfId="0" applyFont="1" applyFill="1" applyBorder="1" applyAlignment="1">
      <alignment horizontal="center" vertical="top" wrapText="1"/>
    </xf>
    <xf numFmtId="0" fontId="13" fillId="0" borderId="1" xfId="1" applyFont="1" applyFill="1" applyBorder="1" applyAlignment="1">
      <alignment horizontal="center" wrapText="1"/>
    </xf>
    <xf numFmtId="0" fontId="13" fillId="6" borderId="1" xfId="0" applyFont="1" applyFill="1" applyBorder="1" applyAlignment="1">
      <alignment horizontal="left" wrapText="1"/>
    </xf>
    <xf numFmtId="0" fontId="13" fillId="3" borderId="1" xfId="0" applyFont="1" applyFill="1" applyBorder="1" applyAlignment="1">
      <alignment horizontal="center" vertical="top" wrapText="1"/>
    </xf>
    <xf numFmtId="0" fontId="13" fillId="3" borderId="1" xfId="0" applyFont="1" applyFill="1" applyBorder="1" applyAlignment="1">
      <alignment horizontal="left" wrapText="1"/>
    </xf>
    <xf numFmtId="0" fontId="13" fillId="2" borderId="1" xfId="0" applyFont="1" applyFill="1" applyBorder="1" applyAlignment="1">
      <alignment horizontal="left" wrapText="1"/>
    </xf>
    <xf numFmtId="0" fontId="13" fillId="0" borderId="1" xfId="1" applyFont="1" applyFill="1" applyBorder="1" applyAlignment="1">
      <alignment horizontal="left" wrapText="1"/>
    </xf>
    <xf numFmtId="0" fontId="13" fillId="2" borderId="1" xfId="0" applyFont="1" applyFill="1" applyBorder="1" applyAlignment="1">
      <alignment horizontal="center" wrapText="1"/>
    </xf>
    <xf numFmtId="0" fontId="13" fillId="6" borderId="1" xfId="0" applyFont="1" applyFill="1" applyBorder="1" applyAlignment="1">
      <alignment horizontal="center" vertical="top" wrapText="1"/>
    </xf>
    <xf numFmtId="0" fontId="13" fillId="6" borderId="1" xfId="2" applyFont="1" applyFill="1" applyBorder="1" applyAlignment="1">
      <alignment horizontal="left" wrapText="1"/>
    </xf>
    <xf numFmtId="0" fontId="13" fillId="0" borderId="1" xfId="3" applyFont="1" applyFill="1" applyBorder="1" applyAlignment="1">
      <alignment horizontal="center" wrapText="1"/>
    </xf>
    <xf numFmtId="0" fontId="12" fillId="3" borderId="0" xfId="0" applyFont="1" applyFill="1" applyAlignment="1">
      <alignment horizontal="center" vertical="top" wrapText="1"/>
    </xf>
    <xf numFmtId="0" fontId="12" fillId="3" borderId="0" xfId="0" applyFont="1" applyFill="1" applyAlignment="1">
      <alignment horizontal="left" wrapText="1"/>
    </xf>
    <xf numFmtId="0" fontId="12" fillId="2" borderId="1" xfId="0" applyFont="1" applyFill="1" applyBorder="1" applyAlignment="1">
      <alignment horizontal="center" wrapText="1"/>
    </xf>
    <xf numFmtId="0" fontId="13" fillId="0" borderId="0" xfId="0" applyFont="1" applyBorder="1" applyAlignment="1">
      <alignment horizontal="left" wrapText="1"/>
    </xf>
    <xf numFmtId="0" fontId="14" fillId="0" borderId="1" xfId="0" applyFont="1" applyBorder="1" applyAlignment="1">
      <alignment wrapText="1"/>
    </xf>
    <xf numFmtId="0" fontId="14" fillId="0" borderId="1" xfId="0" applyFont="1" applyBorder="1" applyAlignment="1">
      <alignment horizontal="left" wrapText="1"/>
    </xf>
    <xf numFmtId="0" fontId="13" fillId="0" borderId="0" xfId="3" applyFont="1" applyFill="1" applyBorder="1" applyAlignment="1">
      <alignment horizontal="center" wrapText="1"/>
    </xf>
    <xf numFmtId="0" fontId="0" fillId="0" borderId="0" xfId="0" applyNumberFormat="1"/>
  </cellXfs>
  <cellStyles count="4">
    <cellStyle name="Normal" xfId="0" builtinId="0"/>
    <cellStyle name="Normal 2" xfId="1" xr:uid="{A422D90B-ECF5-47C3-B898-7BB80115538B}"/>
    <cellStyle name="Normal 4" xfId="2" xr:uid="{5E1102DD-494A-427D-885A-F02DD8F9A1D9}"/>
    <cellStyle name="Normal 5" xfId="3" xr:uid="{7323883A-EAC1-4CCA-ABFE-329EDFE1A095}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12700</xdr:colOff>
      <xdr:row>0</xdr:row>
      <xdr:rowOff>139700</xdr:rowOff>
    </xdr:from>
    <xdr:to>
      <xdr:col>11</xdr:col>
      <xdr:colOff>431800</xdr:colOff>
      <xdr:row>35</xdr:row>
      <xdr:rowOff>133350</xdr:rowOff>
    </xdr:to>
    <xdr:sp macro="" textlink="" fLocksText="0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7143750" y="139700"/>
          <a:ext cx="4076700" cy="643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Copiar la info del cliente (desde</a:t>
          </a:r>
          <a:r>
            <a:rPr lang="es-AR" sz="1100" baseline="0"/>
            <a:t> la fila que contenga los encabezados de Category, subcategory,etc - no tomar filas anteriores en caso que las haya- hasta el la última fila y columna con información del trim) Atajo teclado "ctrl + fin" posicionandose en la primera columna de los encabezados</a:t>
          </a:r>
        </a:p>
        <a:p>
          <a:endParaRPr lang="es-AR" sz="1100" baseline="0"/>
        </a:p>
        <a:p>
          <a:r>
            <a:rPr lang="es-AR" sz="1100" baseline="0"/>
            <a:t>Luego en este planilla seleccionar SOLAMENTE las celdas (no columna completa -solo celda) de los encabezados "SubCategory" y "Title" y apretar el siguiente boton: (Se puede seleccionar una de las celdas apretar el botón y luego repetir el proceso con la celda restante):</a:t>
          </a:r>
        </a:p>
        <a:p>
          <a:endParaRPr lang="es-AR" sz="1100" baseline="0"/>
        </a:p>
        <a:p>
          <a:r>
            <a:rPr lang="es-AR" sz="1100" baseline="0"/>
            <a:t>Realizar el mismo procedimiento pero ahora seleccionando la celda que contenga el trim que van a comparar y apretando el siguiente boton:</a:t>
          </a:r>
        </a:p>
        <a:p>
          <a:endParaRPr lang="es-AR" sz="1100" baseline="0"/>
        </a:p>
        <a:p>
          <a:endParaRPr lang="es-AR" sz="1100" baseline="0"/>
        </a:p>
        <a:p>
          <a:r>
            <a:rPr lang="es-AR" sz="1100" baseline="0"/>
            <a:t>Luego apretar estos botones:</a:t>
          </a:r>
        </a:p>
        <a:p>
          <a:endParaRPr lang="es-A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431800</xdr:colOff>
          <xdr:row>14</xdr:row>
          <xdr:rowOff>171450</xdr:rowOff>
        </xdr:from>
        <xdr:to>
          <xdr:col>10</xdr:col>
          <xdr:colOff>438150</xdr:colOff>
          <xdr:row>16</xdr:row>
          <xdr:rowOff>127000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SubCategory +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107950</xdr:colOff>
          <xdr:row>26</xdr:row>
          <xdr:rowOff>133350</xdr:rowOff>
        </xdr:from>
        <xdr:to>
          <xdr:col>8</xdr:col>
          <xdr:colOff>469900</xdr:colOff>
          <xdr:row>28</xdr:row>
          <xdr:rowOff>63500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412750</xdr:colOff>
          <xdr:row>18</xdr:row>
          <xdr:rowOff>0</xdr:rowOff>
        </xdr:from>
        <xdr:to>
          <xdr:col>10</xdr:col>
          <xdr:colOff>463550</xdr:colOff>
          <xdr:row>20</xdr:row>
          <xdr:rowOff>25400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101600</xdr:colOff>
          <xdr:row>28</xdr:row>
          <xdr:rowOff>133350</xdr:rowOff>
        </xdr:from>
        <xdr:to>
          <xdr:col>8</xdr:col>
          <xdr:colOff>444500</xdr:colOff>
          <xdr:row>30</xdr:row>
          <xdr:rowOff>127000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filterHypen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127000</xdr:colOff>
          <xdr:row>24</xdr:row>
          <xdr:rowOff>95250</xdr:rowOff>
        </xdr:from>
        <xdr:to>
          <xdr:col>8</xdr:col>
          <xdr:colOff>501650</xdr:colOff>
          <xdr:row>26</xdr:row>
          <xdr:rowOff>63500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SelectCurrentRegion FromGreen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76200</xdr:colOff>
          <xdr:row>21</xdr:row>
          <xdr:rowOff>101600</xdr:rowOff>
        </xdr:from>
        <xdr:to>
          <xdr:col>8</xdr:col>
          <xdr:colOff>508000</xdr:colOff>
          <xdr:row>23</xdr:row>
          <xdr:rowOff>152400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DeleteNotRedorGreen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114300</xdr:colOff>
          <xdr:row>31</xdr:row>
          <xdr:rowOff>31750</xdr:rowOff>
        </xdr:from>
        <xdr:to>
          <xdr:col>8</xdr:col>
          <xdr:colOff>431800</xdr:colOff>
          <xdr:row>33</xdr:row>
          <xdr:rowOff>19050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158750</xdr:colOff>
          <xdr:row>21</xdr:row>
          <xdr:rowOff>101600</xdr:rowOff>
        </xdr:from>
        <xdr:to>
          <xdr:col>11</xdr:col>
          <xdr:colOff>298450</xdr:colOff>
          <xdr:row>29</xdr:row>
          <xdr:rowOff>38100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TodoJunto expecto filtrar 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152400</xdr:colOff>
          <xdr:row>30</xdr:row>
          <xdr:rowOff>38100</xdr:rowOff>
        </xdr:from>
        <xdr:to>
          <xdr:col>11</xdr:col>
          <xdr:colOff>323850</xdr:colOff>
          <xdr:row>32</xdr:row>
          <xdr:rowOff>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FylterHypenDyn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146050</xdr:colOff>
          <xdr:row>32</xdr:row>
          <xdr:rowOff>158750</xdr:rowOff>
        </xdr:from>
        <xdr:to>
          <xdr:col>11</xdr:col>
          <xdr:colOff>311150</xdr:colOff>
          <xdr:row>34</xdr:row>
          <xdr:rowOff>57150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Sort Dyn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57150</xdr:colOff>
          <xdr:row>36</xdr:row>
          <xdr:rowOff>57150</xdr:rowOff>
        </xdr:from>
        <xdr:to>
          <xdr:col>10</xdr:col>
          <xdr:colOff>298450</xdr:colOff>
          <xdr:row>39</xdr:row>
          <xdr:rowOff>107950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Comparetwoworksheets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463550</xdr:colOff>
      <xdr:row>3</xdr:row>
      <xdr:rowOff>69850</xdr:rowOff>
    </xdr:from>
    <xdr:to>
      <xdr:col>15</xdr:col>
      <xdr:colOff>463550</xdr:colOff>
      <xdr:row>19</xdr:row>
      <xdr:rowOff>82550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30750" y="622300"/>
          <a:ext cx="4876800" cy="295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Importar DESDE ESTA</a:t>
          </a:r>
          <a:r>
            <a:rPr lang="es-AR" sz="1100" baseline="0"/>
            <a:t> SOLAPA el archivo</a:t>
          </a:r>
          <a:r>
            <a:rPr lang="es-AR" sz="1100"/>
            <a:t> .csv que se</a:t>
          </a:r>
          <a:r>
            <a:rPr lang="es-AR" sz="1100" baseline="0"/>
            <a:t> descargó de la web. Recordar utilizar el caracter grado (°) como separador especial.</a:t>
          </a:r>
        </a:p>
        <a:p>
          <a:endParaRPr lang="es-AR" sz="1100" baseline="0"/>
        </a:p>
        <a:p>
          <a:r>
            <a:rPr lang="es-AR" sz="1100" baseline="0"/>
            <a:t>Luego, tocar este boton  </a:t>
          </a:r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146050</xdr:colOff>
          <xdr:row>8</xdr:row>
          <xdr:rowOff>38100</xdr:rowOff>
        </xdr:from>
        <xdr:to>
          <xdr:col>15</xdr:col>
          <xdr:colOff>114300</xdr:colOff>
          <xdr:row>14</xdr:row>
          <xdr:rowOff>12700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ModificarHojaPrevia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527050</xdr:colOff>
      <xdr:row>0</xdr:row>
      <xdr:rowOff>139700</xdr:rowOff>
    </xdr:from>
    <xdr:to>
      <xdr:col>14</xdr:col>
      <xdr:colOff>336550</xdr:colOff>
      <xdr:row>35</xdr:row>
      <xdr:rowOff>133350</xdr:rowOff>
    </xdr:to>
    <xdr:sp macro="" textlink="" fLocksText="0">
      <xdr:nvSpPr>
        <xdr:cNvPr id="2" name="CuadroText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7143750" y="139700"/>
          <a:ext cx="4076700" cy="6438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Copiar la info del cliente (desde</a:t>
          </a:r>
          <a:r>
            <a:rPr lang="es-AR" sz="1100" baseline="0"/>
            <a:t> la fila que contenga los encabezados de Category, subcategory,etc - no tomar filas anteriores en caso que las haya- hasta el la última fila y columna con información del trim) Atajo teclado "ctrl + fin" posicionandose en la primera columna de los encabezados</a:t>
          </a:r>
        </a:p>
        <a:p>
          <a:endParaRPr lang="es-AR" sz="1100" baseline="0"/>
        </a:p>
        <a:p>
          <a:r>
            <a:rPr lang="es-AR" sz="1100" baseline="0"/>
            <a:t>Luego en este planilla seleccionar SOLAMENTE las celdas (no columna completa -solo celda) de los encabezados "SubCategory" y "Title" y apretar el siguiente boton: (Se puede seleccionar una de las celdas apretar el botón y luego repetir el proceso con la celda restante):</a:t>
          </a:r>
        </a:p>
        <a:p>
          <a:endParaRPr lang="es-AR" sz="1100" baseline="0"/>
        </a:p>
        <a:p>
          <a:r>
            <a:rPr lang="es-AR" sz="1100" baseline="0"/>
            <a:t>Realizar el mismo procedimiento pero ahora seleccionando la celda que contenga el trim que van a comparar y apretando el siguiente boton:</a:t>
          </a:r>
        </a:p>
        <a:p>
          <a:endParaRPr lang="es-AR" sz="1100" baseline="0"/>
        </a:p>
        <a:p>
          <a:endParaRPr lang="es-AR" sz="1100" baseline="0"/>
        </a:p>
        <a:p>
          <a:r>
            <a:rPr lang="es-AR" sz="1100" baseline="0"/>
            <a:t>Luego apretar estos botones:</a:t>
          </a:r>
        </a:p>
        <a:p>
          <a:endParaRPr lang="es-A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6350</xdr:colOff>
          <xdr:row>10</xdr:row>
          <xdr:rowOff>114300</xdr:rowOff>
        </xdr:from>
        <xdr:to>
          <xdr:col>14</xdr:col>
          <xdr:colOff>12700</xdr:colOff>
          <xdr:row>12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SubCategory + Title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38100</xdr:colOff>
          <xdr:row>25</xdr:row>
          <xdr:rowOff>19050</xdr:rowOff>
        </xdr:from>
        <xdr:to>
          <xdr:col>11</xdr:col>
          <xdr:colOff>400050</xdr:colOff>
          <xdr:row>26</xdr:row>
          <xdr:rowOff>107950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501650</xdr:colOff>
          <xdr:row>14</xdr:row>
          <xdr:rowOff>88900</xdr:rowOff>
        </xdr:from>
        <xdr:to>
          <xdr:col>13</xdr:col>
          <xdr:colOff>552450</xdr:colOff>
          <xdr:row>16</xdr:row>
          <xdr:rowOff>63500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50800</xdr:colOff>
          <xdr:row>27</xdr:row>
          <xdr:rowOff>25400</xdr:rowOff>
        </xdr:from>
        <xdr:to>
          <xdr:col>11</xdr:col>
          <xdr:colOff>393700</xdr:colOff>
          <xdr:row>28</xdr:row>
          <xdr:rowOff>152400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filterHypen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31750</xdr:colOff>
          <xdr:row>23</xdr:row>
          <xdr:rowOff>12700</xdr:rowOff>
        </xdr:from>
        <xdr:to>
          <xdr:col>11</xdr:col>
          <xdr:colOff>406400</xdr:colOff>
          <xdr:row>24</xdr:row>
          <xdr:rowOff>114300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SelectCurrentRegion FromGreen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12700</xdr:colOff>
          <xdr:row>20</xdr:row>
          <xdr:rowOff>107950</xdr:rowOff>
        </xdr:from>
        <xdr:to>
          <xdr:col>11</xdr:col>
          <xdr:colOff>444500</xdr:colOff>
          <xdr:row>22</xdr:row>
          <xdr:rowOff>82550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3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DeleteNotRedorGreen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63500</xdr:colOff>
          <xdr:row>29</xdr:row>
          <xdr:rowOff>69850</xdr:rowOff>
        </xdr:from>
        <xdr:to>
          <xdr:col>11</xdr:col>
          <xdr:colOff>381000</xdr:colOff>
          <xdr:row>31</xdr:row>
          <xdr:rowOff>6350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3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20</xdr:row>
          <xdr:rowOff>50800</xdr:rowOff>
        </xdr:from>
        <xdr:to>
          <xdr:col>14</xdr:col>
          <xdr:colOff>139700</xdr:colOff>
          <xdr:row>26</xdr:row>
          <xdr:rowOff>152400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3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TodoJunto expecto filtrar y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603250</xdr:colOff>
          <xdr:row>27</xdr:row>
          <xdr:rowOff>50800</xdr:rowOff>
        </xdr:from>
        <xdr:to>
          <xdr:col>14</xdr:col>
          <xdr:colOff>165100</xdr:colOff>
          <xdr:row>28</xdr:row>
          <xdr:rowOff>146050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3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FylterHypenDyn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12700</xdr:colOff>
          <xdr:row>29</xdr:row>
          <xdr:rowOff>101600</xdr:rowOff>
        </xdr:from>
        <xdr:to>
          <xdr:col>14</xdr:col>
          <xdr:colOff>177800</xdr:colOff>
          <xdr:row>30</xdr:row>
          <xdr:rowOff>158750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3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and Sort Dyn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anignacio.tornero\Desktop\QA\Automation\Ford\web%20scraping\SpecSheet\Specsheets\2024_CA_RANGER%20MO%20GRID_FINAL_6.28.xlsx" TargetMode="External"/><Relationship Id="rId1" Type="http://schemas.openxmlformats.org/officeDocument/2006/relationships/externalLinkPath" Target="Specsheets/2024_CA_RANGER%20MO%20GRID_FINAL_6.2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ategories"/>
      <sheetName val="Options Grid"/>
      <sheetName val="Trim Details Key Features"/>
    </sheetNames>
    <sheetDataSet>
      <sheetData sheetId="0">
        <row r="6">
          <cell r="B6" t="str">
            <v>Power and Handling</v>
          </cell>
        </row>
        <row r="7">
          <cell r="B7" t="str">
            <v>Interior Features</v>
          </cell>
        </row>
        <row r="8">
          <cell r="B8" t="str">
            <v>Exterior Features</v>
          </cell>
        </row>
        <row r="9">
          <cell r="B9" t="str">
            <v>Safety</v>
          </cell>
        </row>
        <row r="10">
          <cell r="B10" t="str">
            <v>Packages</v>
          </cell>
        </row>
        <row r="11">
          <cell r="B11" t="str">
            <v>Accessories</v>
          </cell>
        </row>
        <row r="16">
          <cell r="C16" t="str">
            <v>Power</v>
          </cell>
        </row>
        <row r="17">
          <cell r="C17" t="str">
            <v>Handling</v>
          </cell>
        </row>
        <row r="18">
          <cell r="C18" t="str">
            <v>Wheels &amp; Tires</v>
          </cell>
        </row>
        <row r="19">
          <cell r="C19" t="str">
            <v>Seating</v>
          </cell>
        </row>
        <row r="20">
          <cell r="C20" t="str">
            <v>Climate</v>
          </cell>
        </row>
        <row r="21">
          <cell r="C21" t="str">
            <v>Entertainment Systems</v>
          </cell>
        </row>
        <row r="22">
          <cell r="C22" t="str">
            <v>Comfort and Convenience</v>
          </cell>
        </row>
        <row r="23">
          <cell r="C23" t="str">
            <v>Interior Packages</v>
          </cell>
        </row>
        <row r="24">
          <cell r="C24" t="str">
            <v>Interior Accessories</v>
          </cell>
        </row>
        <row r="25">
          <cell r="C25" t="str">
            <v>Appearance</v>
          </cell>
        </row>
        <row r="26">
          <cell r="C26" t="str">
            <v>Protection</v>
          </cell>
        </row>
        <row r="27">
          <cell r="C27" t="str">
            <v>Windows &amp; Glass</v>
          </cell>
        </row>
        <row r="28">
          <cell r="C28" t="str">
            <v>Safety</v>
          </cell>
        </row>
        <row r="29">
          <cell r="C29" t="str">
            <v>Security</v>
          </cell>
        </row>
        <row r="30">
          <cell r="C30" t="str">
            <v>Packages</v>
          </cell>
        </row>
        <row r="31">
          <cell r="C31" t="str">
            <v>Rapid Specs</v>
          </cell>
        </row>
        <row r="32">
          <cell r="C32" t="str">
            <v>Standard Features</v>
          </cell>
        </row>
        <row r="33">
          <cell r="C33" t="str">
            <v>Value Packages</v>
          </cell>
        </row>
        <row r="34">
          <cell r="C34" t="str">
            <v>Free Standing Packages &amp; Options</v>
          </cell>
        </row>
        <row r="35">
          <cell r="C35" t="str">
            <v>Interior</v>
          </cell>
        </row>
        <row r="36">
          <cell r="C36" t="str">
            <v>Exterior</v>
          </cell>
        </row>
        <row r="37">
          <cell r="C37" t="str">
            <v>Factory Invoiced Accessories</v>
          </cell>
        </row>
        <row r="41">
          <cell r="B41" t="str">
            <v>Ford Co-Pilot360 Technology</v>
          </cell>
        </row>
        <row r="42">
          <cell r="B42" t="str">
            <v>Engine</v>
          </cell>
        </row>
        <row r="43">
          <cell r="B43" t="str">
            <v>Transmission</v>
          </cell>
        </row>
        <row r="44">
          <cell r="B44" t="str">
            <v>Drivetrain</v>
          </cell>
        </row>
        <row r="45">
          <cell r="B45" t="str">
            <v>Wheels</v>
          </cell>
        </row>
        <row r="46">
          <cell r="B46" t="str">
            <v>Exterior Lighting</v>
          </cell>
        </row>
        <row r="47">
          <cell r="B47" t="str">
            <v>Exterior Details</v>
          </cell>
        </row>
        <row r="48">
          <cell r="B48" t="str">
            <v>Fuel Filler</v>
          </cell>
        </row>
        <row r="49">
          <cell r="B49" t="str">
            <v>Grille</v>
          </cell>
        </row>
        <row r="50">
          <cell r="B50" t="str">
            <v>Exterior Amenities</v>
          </cell>
        </row>
        <row r="51">
          <cell r="B51" t="str">
            <v>Storage</v>
          </cell>
        </row>
        <row r="52">
          <cell r="B52" t="str">
            <v>Exhaust</v>
          </cell>
        </row>
        <row r="53">
          <cell r="B53" t="str">
            <v>Mirrors</v>
          </cell>
        </row>
        <row r="54">
          <cell r="B54" t="str">
            <v>Running Boards</v>
          </cell>
        </row>
        <row r="55">
          <cell r="B55" t="str">
            <v>Doors</v>
          </cell>
        </row>
        <row r="56">
          <cell r="B56" t="str">
            <v>Spare Tire</v>
          </cell>
        </row>
        <row r="57">
          <cell r="B57" t="str">
            <v>Windows</v>
          </cell>
        </row>
        <row r="58">
          <cell r="B58" t="str">
            <v>Windshield Wipers</v>
          </cell>
        </row>
        <row r="59">
          <cell r="B59" t="str">
            <v>Climate Control</v>
          </cell>
        </row>
        <row r="60">
          <cell r="B60" t="str">
            <v>Power Outlet</v>
          </cell>
        </row>
        <row r="61">
          <cell r="B61" t="str">
            <v>Displays</v>
          </cell>
        </row>
        <row r="62">
          <cell r="B62" t="str">
            <v>Interior Amenities</v>
          </cell>
        </row>
        <row r="63">
          <cell r="B63" t="str">
            <v>Audio</v>
          </cell>
        </row>
        <row r="64">
          <cell r="B64" t="str">
            <v>Flooring and Mats</v>
          </cell>
        </row>
        <row r="65">
          <cell r="B65" t="str">
            <v>Speed Control</v>
          </cell>
        </row>
        <row r="66">
          <cell r="B66" t="str">
            <v>Electrical Systems</v>
          </cell>
        </row>
        <row r="67">
          <cell r="B67" t="str">
            <v>Interior Lighting</v>
          </cell>
        </row>
        <row r="68">
          <cell r="B68" t="str">
            <v>Locks</v>
          </cell>
        </row>
        <row r="69">
          <cell r="B69" t="str">
            <v>Advanced Technology</v>
          </cell>
        </row>
        <row r="70">
          <cell r="B70" t="str">
            <v>Steering System</v>
          </cell>
        </row>
        <row r="71">
          <cell r="B71" t="str">
            <v>Infotainment System</v>
          </cell>
        </row>
        <row r="72">
          <cell r="B72" t="str">
            <v>Seats</v>
          </cell>
        </row>
        <row r="73">
          <cell r="B73" t="str">
            <v>Packages</v>
          </cell>
        </row>
        <row r="74">
          <cell r="B74" t="str">
            <v>Equipment Groups</v>
          </cell>
        </row>
        <row r="75">
          <cell r="B75" t="str">
            <v>Fuel Tank</v>
          </cell>
        </row>
        <row r="76">
          <cell r="B76" t="str">
            <v>Brakes</v>
          </cell>
        </row>
        <row r="77">
          <cell r="B77" t="str">
            <v>Block Heater</v>
          </cell>
        </row>
        <row r="78">
          <cell r="B78" t="str">
            <v>Suspension</v>
          </cell>
        </row>
        <row r="79">
          <cell r="B79" t="str">
            <v>Drive Modes</v>
          </cell>
        </row>
        <row r="80">
          <cell r="B80" t="str">
            <v>Trailer Control</v>
          </cell>
        </row>
        <row r="81">
          <cell r="B81" t="str">
            <v>Tires</v>
          </cell>
        </row>
        <row r="82">
          <cell r="B82" t="str">
            <v>Airbags</v>
          </cell>
        </row>
        <row r="83">
          <cell r="B83" t="str">
            <v>Anchors and Tethers</v>
          </cell>
        </row>
        <row r="84">
          <cell r="B84" t="str">
            <v>Safety Belts</v>
          </cell>
        </row>
        <row r="85">
          <cell r="B85" t="str">
            <v>Anti-Theft</v>
          </cell>
        </row>
      </sheetData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184961-A99D-4B30-BECD-E0C5B7832C46}" name="_2023_Ford_Ranger_XL_Truck___Model_Details___Specs__2" displayName="_2023_Ford_Ranger_XL_Truck___Model_Details___Specs__2" ref="A1:D141" totalsRowShown="0">
  <autoFilter ref="A1:D141" xr:uid="{45184961-A99D-4B30-BECD-E0C5B7832C46}"/>
  <tableColumns count="4">
    <tableColumn id="1" xr3:uid="{A364FCA6-C14A-4787-A507-28AFB87C6672}" name="Column1" dataDxfId="3"/>
    <tableColumn id="2" xr3:uid="{6B644BA8-CD1F-4E54-AD66-FA1E9CD6379B}" name="Column2" dataDxfId="2"/>
    <tableColumn id="3" xr3:uid="{406DAF34-58DA-4A2C-AE56-F253C728F7D0}" name="Column3" dataDxfId="1"/>
    <tableColumn id="4" xr3:uid="{ED5248C6-A8B3-4D28-A78B-0E3E8AD5CAFC}" name="Column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BEA57-F54E-4479-A6CA-1DFCB3E73A78}">
  <sheetPr codeName="Sheet3"/>
  <dimension ref="A1:C118"/>
  <sheetViews>
    <sheetView zoomScaleNormal="100" workbookViewId="0">
      <selection activeCell="M3" sqref="M3"/>
    </sheetView>
  </sheetViews>
  <sheetFormatPr baseColWidth="10" defaultColWidth="8.7265625" defaultRowHeight="14.5" customHeight="1" x14ac:dyDescent="0.35"/>
  <cols>
    <col min="1" max="1" width="54.26953125" customWidth="1"/>
    <col min="2" max="2" width="17.26953125" customWidth="1"/>
    <col min="3" max="3" width="13.08984375" customWidth="1"/>
  </cols>
  <sheetData>
    <row r="1" spans="1:3" ht="14.5" customHeight="1" x14ac:dyDescent="0.35">
      <c r="A1" s="46" t="s">
        <v>217</v>
      </c>
      <c r="B1" s="47" t="s">
        <v>0</v>
      </c>
      <c r="C1" s="48" t="s">
        <v>218</v>
      </c>
    </row>
    <row r="2" spans="1:3" ht="14.5" customHeight="1" x14ac:dyDescent="0.35">
      <c r="A2" s="31" t="s">
        <v>1</v>
      </c>
      <c r="B2" s="32" t="s">
        <v>247</v>
      </c>
      <c r="C2" s="34" t="s">
        <v>28</v>
      </c>
    </row>
    <row r="3" spans="1:3" ht="14.5" customHeight="1" x14ac:dyDescent="0.35">
      <c r="A3" s="31" t="s">
        <v>1</v>
      </c>
      <c r="B3" s="32" t="s">
        <v>248</v>
      </c>
      <c r="C3" s="34" t="s">
        <v>28</v>
      </c>
    </row>
    <row r="4" spans="1:3" ht="14.5" customHeight="1" x14ac:dyDescent="0.35">
      <c r="A4" s="31" t="s">
        <v>1</v>
      </c>
      <c r="B4" s="32" t="s">
        <v>261</v>
      </c>
      <c r="C4" s="34" t="s">
        <v>28</v>
      </c>
    </row>
    <row r="5" spans="1:3" ht="14.5" customHeight="1" x14ac:dyDescent="0.35">
      <c r="A5" s="31" t="s">
        <v>1</v>
      </c>
      <c r="B5" s="49" t="s">
        <v>243</v>
      </c>
      <c r="C5" s="34" t="s">
        <v>24</v>
      </c>
    </row>
    <row r="6" spans="1:3" ht="14.5" customHeight="1" x14ac:dyDescent="0.35">
      <c r="A6" s="31" t="s">
        <v>1</v>
      </c>
      <c r="B6" s="49" t="s">
        <v>245</v>
      </c>
      <c r="C6" s="34" t="s">
        <v>24</v>
      </c>
    </row>
    <row r="7" spans="1:3" ht="14.5" customHeight="1" x14ac:dyDescent="0.35">
      <c r="A7" s="31" t="s">
        <v>1</v>
      </c>
      <c r="B7" s="32" t="s">
        <v>246</v>
      </c>
      <c r="C7" s="34" t="s">
        <v>24</v>
      </c>
    </row>
    <row r="8" spans="1:3" ht="14.5" customHeight="1" x14ac:dyDescent="0.35">
      <c r="A8" s="31" t="s">
        <v>1</v>
      </c>
      <c r="B8" s="32" t="s">
        <v>251</v>
      </c>
      <c r="C8" s="34" t="s">
        <v>24</v>
      </c>
    </row>
    <row r="9" spans="1:3" ht="14.5" customHeight="1" x14ac:dyDescent="0.35">
      <c r="A9" s="31" t="s">
        <v>1</v>
      </c>
      <c r="B9" s="32" t="s">
        <v>252</v>
      </c>
      <c r="C9" s="34" t="s">
        <v>24</v>
      </c>
    </row>
    <row r="10" spans="1:3" ht="14.5" customHeight="1" x14ac:dyDescent="0.35">
      <c r="A10" s="35" t="s">
        <v>1</v>
      </c>
      <c r="B10" s="40" t="s">
        <v>254</v>
      </c>
      <c r="C10" s="34" t="s">
        <v>24</v>
      </c>
    </row>
    <row r="11" spans="1:3" ht="14.5" customHeight="1" x14ac:dyDescent="0.35">
      <c r="A11" s="31" t="s">
        <v>1</v>
      </c>
      <c r="B11" s="32" t="s">
        <v>255</v>
      </c>
      <c r="C11" s="34" t="s">
        <v>24</v>
      </c>
    </row>
    <row r="12" spans="1:3" ht="14.5" customHeight="1" x14ac:dyDescent="0.35">
      <c r="A12" s="31" t="s">
        <v>1</v>
      </c>
      <c r="B12" s="32" t="s">
        <v>256</v>
      </c>
      <c r="C12" s="34" t="s">
        <v>24</v>
      </c>
    </row>
    <row r="13" spans="1:3" ht="14.5" customHeight="1" x14ac:dyDescent="0.35">
      <c r="A13" s="31" t="s">
        <v>1</v>
      </c>
      <c r="B13" s="32" t="s">
        <v>257</v>
      </c>
      <c r="C13" s="34" t="s">
        <v>24</v>
      </c>
    </row>
    <row r="14" spans="1:3" ht="14.5" customHeight="1" x14ac:dyDescent="0.35">
      <c r="A14" s="31" t="s">
        <v>1</v>
      </c>
      <c r="B14" s="32" t="s">
        <v>260</v>
      </c>
      <c r="C14" s="34" t="s">
        <v>24</v>
      </c>
    </row>
    <row r="15" spans="1:3" ht="14.5" customHeight="1" x14ac:dyDescent="0.35">
      <c r="A15" s="31" t="s">
        <v>4</v>
      </c>
      <c r="B15" s="32" t="s">
        <v>20</v>
      </c>
      <c r="C15" s="34" t="s">
        <v>24</v>
      </c>
    </row>
    <row r="16" spans="1:3" ht="14.5" customHeight="1" x14ac:dyDescent="0.35">
      <c r="A16" s="31" t="s">
        <v>2</v>
      </c>
      <c r="B16" s="32" t="s">
        <v>220</v>
      </c>
      <c r="C16" s="34" t="s">
        <v>28</v>
      </c>
    </row>
    <row r="17" spans="1:3" ht="14.5" customHeight="1" x14ac:dyDescent="0.35">
      <c r="A17" s="31" t="s">
        <v>2</v>
      </c>
      <c r="B17" s="32" t="s">
        <v>224</v>
      </c>
      <c r="C17" s="34" t="s">
        <v>28</v>
      </c>
    </row>
    <row r="18" spans="1:3" ht="14.5" customHeight="1" x14ac:dyDescent="0.35">
      <c r="A18" s="31" t="s">
        <v>2</v>
      </c>
      <c r="B18" s="32" t="s">
        <v>227</v>
      </c>
      <c r="C18" s="34" t="s">
        <v>28</v>
      </c>
    </row>
    <row r="19" spans="1:3" ht="14.5" customHeight="1" x14ac:dyDescent="0.35">
      <c r="A19" s="31" t="s">
        <v>2</v>
      </c>
      <c r="B19" s="32" t="s">
        <v>238</v>
      </c>
      <c r="C19" s="36" t="s">
        <v>28</v>
      </c>
    </row>
    <row r="20" spans="1:3" ht="14.5" customHeight="1" x14ac:dyDescent="0.35">
      <c r="A20" s="31" t="s">
        <v>2</v>
      </c>
      <c r="B20" s="32" t="s">
        <v>267</v>
      </c>
      <c r="C20" s="34" t="s">
        <v>28</v>
      </c>
    </row>
    <row r="21" spans="1:3" ht="14.5" customHeight="1" x14ac:dyDescent="0.35">
      <c r="A21" s="31" t="s">
        <v>2</v>
      </c>
      <c r="B21" s="32" t="s">
        <v>268</v>
      </c>
      <c r="C21" s="34" t="s">
        <v>28</v>
      </c>
    </row>
    <row r="22" spans="1:3" ht="14.5" customHeight="1" x14ac:dyDescent="0.35">
      <c r="A22" s="31" t="s">
        <v>2</v>
      </c>
      <c r="B22" s="32" t="s">
        <v>269</v>
      </c>
      <c r="C22" s="34" t="s">
        <v>28</v>
      </c>
    </row>
    <row r="23" spans="1:3" ht="14.5" customHeight="1" x14ac:dyDescent="0.35">
      <c r="A23" s="31" t="s">
        <v>2</v>
      </c>
      <c r="B23" s="32" t="s">
        <v>276</v>
      </c>
      <c r="C23" s="34" t="s">
        <v>28</v>
      </c>
    </row>
    <row r="24" spans="1:3" ht="14.5" customHeight="1" x14ac:dyDescent="0.35">
      <c r="A24" s="31" t="s">
        <v>2</v>
      </c>
      <c r="B24" s="32" t="s">
        <v>279</v>
      </c>
      <c r="C24" s="34" t="s">
        <v>28</v>
      </c>
    </row>
    <row r="25" spans="1:3" ht="14.5" customHeight="1" x14ac:dyDescent="0.35">
      <c r="A25" s="31" t="s">
        <v>2</v>
      </c>
      <c r="B25" s="49" t="s">
        <v>289</v>
      </c>
      <c r="C25" s="34" t="s">
        <v>28</v>
      </c>
    </row>
    <row r="26" spans="1:3" ht="14.5" customHeight="1" x14ac:dyDescent="0.35">
      <c r="A26" s="31" t="s">
        <v>2</v>
      </c>
      <c r="B26" s="37" t="s">
        <v>294</v>
      </c>
      <c r="C26" s="34" t="s">
        <v>28</v>
      </c>
    </row>
    <row r="27" spans="1:3" ht="14.5" customHeight="1" x14ac:dyDescent="0.35">
      <c r="A27" s="31" t="s">
        <v>2</v>
      </c>
      <c r="B27" s="32" t="s">
        <v>299</v>
      </c>
      <c r="C27" s="34" t="s">
        <v>28</v>
      </c>
    </row>
    <row r="28" spans="1:3" ht="14.5" customHeight="1" x14ac:dyDescent="0.35">
      <c r="A28" s="31" t="s">
        <v>2</v>
      </c>
      <c r="B28" s="32" t="s">
        <v>221</v>
      </c>
      <c r="C28" s="34" t="s">
        <v>24</v>
      </c>
    </row>
    <row r="29" spans="1:3" ht="14.5" customHeight="1" x14ac:dyDescent="0.35">
      <c r="A29" s="31" t="s">
        <v>2</v>
      </c>
      <c r="B29" s="32" t="s">
        <v>222</v>
      </c>
      <c r="C29" s="34" t="s">
        <v>24</v>
      </c>
    </row>
    <row r="30" spans="1:3" ht="14.5" customHeight="1" x14ac:dyDescent="0.35">
      <c r="A30" s="31" t="s">
        <v>2</v>
      </c>
      <c r="B30" s="37" t="s">
        <v>229</v>
      </c>
      <c r="C30" s="34" t="s">
        <v>24</v>
      </c>
    </row>
    <row r="31" spans="1:3" ht="14.5" customHeight="1" x14ac:dyDescent="0.35">
      <c r="A31" s="31" t="s">
        <v>2</v>
      </c>
      <c r="B31" s="32" t="s">
        <v>236</v>
      </c>
      <c r="C31" s="34" t="s">
        <v>24</v>
      </c>
    </row>
    <row r="32" spans="1:3" ht="14.5" customHeight="1" x14ac:dyDescent="0.35">
      <c r="A32" s="31" t="s">
        <v>2</v>
      </c>
      <c r="B32" s="32" t="s">
        <v>249</v>
      </c>
      <c r="C32" s="34" t="s">
        <v>24</v>
      </c>
    </row>
    <row r="33" spans="1:3" ht="14.5" customHeight="1" x14ac:dyDescent="0.35">
      <c r="A33" s="31" t="s">
        <v>2</v>
      </c>
      <c r="B33" s="32" t="s">
        <v>253</v>
      </c>
      <c r="C33" s="34" t="s">
        <v>24</v>
      </c>
    </row>
    <row r="34" spans="1:3" ht="14.5" customHeight="1" x14ac:dyDescent="0.35">
      <c r="A34" s="31" t="s">
        <v>2</v>
      </c>
      <c r="B34" s="32" t="s">
        <v>263</v>
      </c>
      <c r="C34" s="34" t="s">
        <v>24</v>
      </c>
    </row>
    <row r="35" spans="1:3" ht="14.5" customHeight="1" x14ac:dyDescent="0.35">
      <c r="A35" s="31" t="s">
        <v>2</v>
      </c>
      <c r="B35" s="32" t="s">
        <v>266</v>
      </c>
      <c r="C35" s="34" t="s">
        <v>24</v>
      </c>
    </row>
    <row r="36" spans="1:3" ht="14.5" customHeight="1" x14ac:dyDescent="0.35">
      <c r="A36" s="31" t="s">
        <v>2</v>
      </c>
      <c r="B36" s="32" t="s">
        <v>270</v>
      </c>
      <c r="C36" s="34" t="s">
        <v>24</v>
      </c>
    </row>
    <row r="37" spans="1:3" ht="14.5" customHeight="1" x14ac:dyDescent="0.35">
      <c r="A37" s="35" t="s">
        <v>2</v>
      </c>
      <c r="B37" s="40" t="s">
        <v>271</v>
      </c>
      <c r="C37" s="42" t="s">
        <v>24</v>
      </c>
    </row>
    <row r="38" spans="1:3" ht="14.5" customHeight="1" x14ac:dyDescent="0.35">
      <c r="A38" s="31" t="s">
        <v>2</v>
      </c>
      <c r="B38" s="32" t="s">
        <v>272</v>
      </c>
      <c r="C38" s="34" t="s">
        <v>24</v>
      </c>
    </row>
    <row r="39" spans="1:3" ht="14.5" customHeight="1" x14ac:dyDescent="0.35">
      <c r="A39" s="31" t="s">
        <v>2</v>
      </c>
      <c r="B39" s="32" t="s">
        <v>273</v>
      </c>
      <c r="C39" s="34" t="s">
        <v>24</v>
      </c>
    </row>
    <row r="40" spans="1:3" ht="14.5" customHeight="1" x14ac:dyDescent="0.35">
      <c r="A40" s="31" t="s">
        <v>2</v>
      </c>
      <c r="B40" s="32" t="s">
        <v>274</v>
      </c>
      <c r="C40" s="34" t="s">
        <v>24</v>
      </c>
    </row>
    <row r="41" spans="1:3" ht="14.5" customHeight="1" x14ac:dyDescent="0.35">
      <c r="A41" s="31" t="s">
        <v>2</v>
      </c>
      <c r="B41" s="32" t="s">
        <v>275</v>
      </c>
      <c r="C41" s="34" t="s">
        <v>24</v>
      </c>
    </row>
    <row r="42" spans="1:3" ht="14.5" customHeight="1" x14ac:dyDescent="0.35">
      <c r="A42" s="31" t="s">
        <v>2</v>
      </c>
      <c r="B42" s="32" t="s">
        <v>277</v>
      </c>
      <c r="C42" s="34" t="s">
        <v>24</v>
      </c>
    </row>
    <row r="43" spans="1:3" ht="14.5" customHeight="1" x14ac:dyDescent="0.35">
      <c r="A43" s="31" t="s">
        <v>2</v>
      </c>
      <c r="B43" s="32" t="s">
        <v>278</v>
      </c>
      <c r="C43" s="34" t="s">
        <v>24</v>
      </c>
    </row>
    <row r="44" spans="1:3" ht="14.5" customHeight="1" x14ac:dyDescent="0.35">
      <c r="A44" s="31" t="s">
        <v>2</v>
      </c>
      <c r="B44" s="32" t="s">
        <v>280</v>
      </c>
      <c r="C44" s="34" t="s">
        <v>24</v>
      </c>
    </row>
    <row r="45" spans="1:3" ht="14.5" customHeight="1" x14ac:dyDescent="0.35">
      <c r="A45" s="31" t="s">
        <v>2</v>
      </c>
      <c r="B45" s="32" t="s">
        <v>281</v>
      </c>
      <c r="C45" s="34" t="s">
        <v>24</v>
      </c>
    </row>
    <row r="46" spans="1:3" ht="14.5" customHeight="1" x14ac:dyDescent="0.35">
      <c r="A46" s="31" t="s">
        <v>2</v>
      </c>
      <c r="B46" s="32" t="s">
        <v>282</v>
      </c>
      <c r="C46" s="34" t="s">
        <v>24</v>
      </c>
    </row>
    <row r="47" spans="1:3" ht="14.5" customHeight="1" x14ac:dyDescent="0.35">
      <c r="A47" s="31" t="s">
        <v>2</v>
      </c>
      <c r="B47" s="32" t="s">
        <v>284</v>
      </c>
      <c r="C47" s="34" t="s">
        <v>24</v>
      </c>
    </row>
    <row r="48" spans="1:3" ht="14.5" customHeight="1" x14ac:dyDescent="0.35">
      <c r="A48" s="31" t="s">
        <v>2</v>
      </c>
      <c r="B48" s="32" t="s">
        <v>285</v>
      </c>
      <c r="C48" s="34" t="s">
        <v>24</v>
      </c>
    </row>
    <row r="49" spans="1:3" ht="14.5" customHeight="1" x14ac:dyDescent="0.35">
      <c r="A49" s="31" t="s">
        <v>2</v>
      </c>
      <c r="B49" s="32" t="s">
        <v>286</v>
      </c>
      <c r="C49" s="34" t="s">
        <v>24</v>
      </c>
    </row>
    <row r="50" spans="1:3" ht="14.5" customHeight="1" x14ac:dyDescent="0.35">
      <c r="A50" s="31" t="s">
        <v>2</v>
      </c>
      <c r="B50" s="32" t="s">
        <v>287</v>
      </c>
      <c r="C50" s="34" t="s">
        <v>24</v>
      </c>
    </row>
    <row r="51" spans="1:3" ht="14.5" customHeight="1" x14ac:dyDescent="0.35">
      <c r="A51" s="31" t="s">
        <v>2</v>
      </c>
      <c r="B51" s="32" t="s">
        <v>288</v>
      </c>
      <c r="C51" s="34" t="s">
        <v>24</v>
      </c>
    </row>
    <row r="52" spans="1:3" ht="14.5" customHeight="1" x14ac:dyDescent="0.35">
      <c r="A52" s="43" t="s">
        <v>2</v>
      </c>
      <c r="B52" s="37" t="s">
        <v>290</v>
      </c>
      <c r="C52" s="34" t="s">
        <v>24</v>
      </c>
    </row>
    <row r="53" spans="1:3" ht="14.5" customHeight="1" x14ac:dyDescent="0.35">
      <c r="A53" s="43" t="s">
        <v>2</v>
      </c>
      <c r="B53" s="37" t="s">
        <v>291</v>
      </c>
      <c r="C53" s="34" t="s">
        <v>24</v>
      </c>
    </row>
    <row r="54" spans="1:3" ht="14.5" customHeight="1" x14ac:dyDescent="0.35">
      <c r="A54" s="43" t="s">
        <v>2</v>
      </c>
      <c r="B54" s="37" t="s">
        <v>292</v>
      </c>
      <c r="C54" s="34" t="s">
        <v>24</v>
      </c>
    </row>
    <row r="55" spans="1:3" ht="14.5" customHeight="1" x14ac:dyDescent="0.35">
      <c r="A55" s="31" t="s">
        <v>2</v>
      </c>
      <c r="B55" s="37" t="s">
        <v>293</v>
      </c>
      <c r="C55" s="34" t="s">
        <v>24</v>
      </c>
    </row>
    <row r="56" spans="1:3" ht="14.5" customHeight="1" x14ac:dyDescent="0.35">
      <c r="A56" s="31" t="s">
        <v>2</v>
      </c>
      <c r="B56" s="32" t="s">
        <v>296</v>
      </c>
      <c r="C56" s="34" t="s">
        <v>24</v>
      </c>
    </row>
    <row r="57" spans="1:3" ht="14.5" customHeight="1" x14ac:dyDescent="0.35">
      <c r="A57" s="31" t="s">
        <v>2</v>
      </c>
      <c r="B57" s="37" t="s">
        <v>297</v>
      </c>
      <c r="C57" s="34" t="s">
        <v>24</v>
      </c>
    </row>
    <row r="58" spans="1:3" ht="14.5" customHeight="1" x14ac:dyDescent="0.35">
      <c r="A58" s="31" t="s">
        <v>2</v>
      </c>
      <c r="B58" s="44" t="s">
        <v>298</v>
      </c>
      <c r="C58" s="34" t="s">
        <v>24</v>
      </c>
    </row>
    <row r="59" spans="1:3" ht="14.5" customHeight="1" x14ac:dyDescent="0.35">
      <c r="A59" s="31" t="s">
        <v>2</v>
      </c>
      <c r="B59" s="32" t="s">
        <v>311</v>
      </c>
      <c r="C59" s="34" t="s">
        <v>24</v>
      </c>
    </row>
    <row r="60" spans="1:3" ht="14.5" customHeight="1" x14ac:dyDescent="0.35">
      <c r="A60" s="31" t="s">
        <v>2</v>
      </c>
      <c r="B60" s="32" t="s">
        <v>312</v>
      </c>
      <c r="C60" s="34" t="s">
        <v>24</v>
      </c>
    </row>
    <row r="61" spans="1:3" ht="14.5" customHeight="1" x14ac:dyDescent="0.35">
      <c r="A61" s="31" t="s">
        <v>6</v>
      </c>
      <c r="B61" s="37" t="s">
        <v>223</v>
      </c>
      <c r="C61" s="34" t="s">
        <v>28</v>
      </c>
    </row>
    <row r="62" spans="1:3" ht="14.5" customHeight="1" x14ac:dyDescent="0.35">
      <c r="A62" s="31" t="s">
        <v>6</v>
      </c>
      <c r="B62" s="32" t="s">
        <v>240</v>
      </c>
      <c r="C62" s="34" t="s">
        <v>28</v>
      </c>
    </row>
    <row r="63" spans="1:3" ht="14.5" customHeight="1" x14ac:dyDescent="0.35">
      <c r="A63" s="31" t="s">
        <v>6</v>
      </c>
      <c r="B63" s="51" t="s">
        <v>301</v>
      </c>
      <c r="C63" s="36" t="s">
        <v>28</v>
      </c>
    </row>
    <row r="64" spans="1:3" ht="14.5" customHeight="1" x14ac:dyDescent="0.35">
      <c r="A64" s="31" t="s">
        <v>6</v>
      </c>
      <c r="B64" s="32" t="s">
        <v>226</v>
      </c>
      <c r="C64" s="36" t="s">
        <v>24</v>
      </c>
    </row>
    <row r="65" spans="1:3" ht="14.5" customHeight="1" x14ac:dyDescent="0.35">
      <c r="A65" s="31" t="s">
        <v>6</v>
      </c>
      <c r="B65" s="32" t="s">
        <v>239</v>
      </c>
      <c r="C65" s="34" t="s">
        <v>24</v>
      </c>
    </row>
    <row r="66" spans="1:3" ht="14.5" customHeight="1" x14ac:dyDescent="0.35">
      <c r="A66" s="31" t="s">
        <v>6</v>
      </c>
      <c r="B66" s="1" t="s">
        <v>241</v>
      </c>
      <c r="C66" s="34" t="s">
        <v>24</v>
      </c>
    </row>
    <row r="67" spans="1:3" ht="14.5" customHeight="1" x14ac:dyDescent="0.35">
      <c r="A67" s="31" t="s">
        <v>6</v>
      </c>
      <c r="B67" s="50" t="s">
        <v>242</v>
      </c>
      <c r="C67" s="34" t="s">
        <v>24</v>
      </c>
    </row>
    <row r="68" spans="1:3" ht="14.5" customHeight="1" x14ac:dyDescent="0.35">
      <c r="A68" s="31" t="s">
        <v>6</v>
      </c>
      <c r="B68" s="41" t="s">
        <v>300</v>
      </c>
      <c r="C68" s="34" t="s">
        <v>24</v>
      </c>
    </row>
    <row r="69" spans="1:3" ht="14.5" customHeight="1" x14ac:dyDescent="0.35">
      <c r="A69" s="31" t="s">
        <v>12</v>
      </c>
      <c r="B69" s="32" t="s">
        <v>314</v>
      </c>
      <c r="C69" s="34" t="s">
        <v>28</v>
      </c>
    </row>
    <row r="70" spans="1:3" ht="14.5" customHeight="1" x14ac:dyDescent="0.35">
      <c r="A70" s="31" t="s">
        <v>12</v>
      </c>
      <c r="B70" s="32" t="s">
        <v>232</v>
      </c>
      <c r="C70" s="34" t="s">
        <v>24</v>
      </c>
    </row>
    <row r="71" spans="1:3" ht="14.5" customHeight="1" x14ac:dyDescent="0.35">
      <c r="A71" s="31" t="s">
        <v>12</v>
      </c>
      <c r="B71" s="32" t="s">
        <v>313</v>
      </c>
      <c r="C71" s="34" t="s">
        <v>24</v>
      </c>
    </row>
    <row r="72" spans="1:3" ht="14.5" customHeight="1" x14ac:dyDescent="0.35">
      <c r="A72" s="31" t="s">
        <v>12</v>
      </c>
      <c r="B72" s="32" t="s">
        <v>315</v>
      </c>
      <c r="C72" s="34" t="s">
        <v>24</v>
      </c>
    </row>
    <row r="73" spans="1:3" ht="14.5" customHeight="1" x14ac:dyDescent="0.35">
      <c r="A73" s="31" t="s">
        <v>8</v>
      </c>
      <c r="B73" s="32" t="s">
        <v>329</v>
      </c>
      <c r="C73" s="52" t="s">
        <v>28</v>
      </c>
    </row>
    <row r="74" spans="1:3" ht="14.5" customHeight="1" x14ac:dyDescent="0.35">
      <c r="A74" s="31" t="s">
        <v>8</v>
      </c>
      <c r="B74" s="32" t="s">
        <v>330</v>
      </c>
      <c r="C74" s="45" t="s">
        <v>28</v>
      </c>
    </row>
    <row r="75" spans="1:3" ht="14.5" customHeight="1" x14ac:dyDescent="0.35">
      <c r="A75" s="31" t="s">
        <v>8</v>
      </c>
      <c r="B75" s="32" t="s">
        <v>331</v>
      </c>
      <c r="C75" s="45" t="s">
        <v>28</v>
      </c>
    </row>
    <row r="76" spans="1:3" ht="14.5" customHeight="1" x14ac:dyDescent="0.35">
      <c r="A76" s="31" t="s">
        <v>8</v>
      </c>
      <c r="B76" s="32" t="s">
        <v>328</v>
      </c>
      <c r="C76" s="34" t="s">
        <v>24</v>
      </c>
    </row>
    <row r="77" spans="1:3" ht="14.5" customHeight="1" x14ac:dyDescent="0.35">
      <c r="A77" s="31" t="s">
        <v>11</v>
      </c>
      <c r="B77" s="32" t="s">
        <v>13</v>
      </c>
      <c r="C77" s="34" t="s">
        <v>28</v>
      </c>
    </row>
    <row r="78" spans="1:3" ht="14.5" customHeight="1" x14ac:dyDescent="0.35">
      <c r="A78" s="31" t="s">
        <v>11</v>
      </c>
      <c r="B78" s="32" t="s">
        <v>231</v>
      </c>
      <c r="C78" s="34" t="s">
        <v>24</v>
      </c>
    </row>
    <row r="79" spans="1:3" ht="14.5" customHeight="1" x14ac:dyDescent="0.35">
      <c r="A79" s="31" t="s">
        <v>11</v>
      </c>
      <c r="B79" s="32" t="s">
        <v>295</v>
      </c>
      <c r="C79" s="34" t="s">
        <v>24</v>
      </c>
    </row>
    <row r="80" spans="1:3" ht="14.5" customHeight="1" x14ac:dyDescent="0.35">
      <c r="A80" s="31" t="s">
        <v>11</v>
      </c>
      <c r="B80" s="32" t="s">
        <v>316</v>
      </c>
      <c r="C80" s="34" t="s">
        <v>24</v>
      </c>
    </row>
    <row r="81" spans="1:3" ht="14.5" customHeight="1" x14ac:dyDescent="0.35">
      <c r="A81" s="31" t="s">
        <v>11</v>
      </c>
      <c r="B81" s="32" t="s">
        <v>317</v>
      </c>
      <c r="C81" s="34" t="s">
        <v>24</v>
      </c>
    </row>
    <row r="82" spans="1:3" ht="14.5" customHeight="1" x14ac:dyDescent="0.35">
      <c r="A82" s="31" t="s">
        <v>11</v>
      </c>
      <c r="B82" s="37" t="s">
        <v>318</v>
      </c>
      <c r="C82" s="34" t="s">
        <v>24</v>
      </c>
    </row>
    <row r="83" spans="1:3" ht="14.5" customHeight="1" x14ac:dyDescent="0.35">
      <c r="A83" s="31" t="s">
        <v>11</v>
      </c>
      <c r="B83" s="32" t="s">
        <v>319</v>
      </c>
      <c r="C83" s="34" t="s">
        <v>24</v>
      </c>
    </row>
    <row r="84" spans="1:3" ht="14.5" customHeight="1" x14ac:dyDescent="0.35">
      <c r="A84" s="31" t="s">
        <v>15</v>
      </c>
      <c r="B84" s="32" t="s">
        <v>19</v>
      </c>
      <c r="C84" s="34" t="s">
        <v>24</v>
      </c>
    </row>
    <row r="85" spans="1:3" ht="14.5" customHeight="1" x14ac:dyDescent="0.35">
      <c r="A85" s="31" t="s">
        <v>15</v>
      </c>
      <c r="B85" s="32" t="s">
        <v>17</v>
      </c>
      <c r="C85" s="34" t="s">
        <v>24</v>
      </c>
    </row>
    <row r="86" spans="1:3" ht="14.5" customHeight="1" x14ac:dyDescent="0.35">
      <c r="A86" s="31" t="s">
        <v>15</v>
      </c>
      <c r="B86" s="49" t="s">
        <v>283</v>
      </c>
      <c r="C86" s="34" t="s">
        <v>24</v>
      </c>
    </row>
    <row r="87" spans="1:3" ht="14.5" customHeight="1" x14ac:dyDescent="0.35">
      <c r="A87" s="31" t="s">
        <v>15</v>
      </c>
      <c r="B87" s="32" t="s">
        <v>320</v>
      </c>
      <c r="C87" s="34" t="s">
        <v>24</v>
      </c>
    </row>
    <row r="88" spans="1:3" ht="14.5" customHeight="1" x14ac:dyDescent="0.35">
      <c r="A88" s="31" t="s">
        <v>15</v>
      </c>
      <c r="B88" s="32" t="s">
        <v>321</v>
      </c>
      <c r="C88" s="34" t="s">
        <v>24</v>
      </c>
    </row>
    <row r="89" spans="1:3" ht="14.5" customHeight="1" x14ac:dyDescent="0.35">
      <c r="A89" s="31" t="s">
        <v>15</v>
      </c>
      <c r="B89" s="32" t="s">
        <v>322</v>
      </c>
      <c r="C89" s="34" t="s">
        <v>24</v>
      </c>
    </row>
    <row r="90" spans="1:3" ht="14.5" customHeight="1" x14ac:dyDescent="0.35">
      <c r="A90" s="31" t="s">
        <v>15</v>
      </c>
      <c r="B90" s="32" t="s">
        <v>323</v>
      </c>
      <c r="C90" s="34" t="s">
        <v>24</v>
      </c>
    </row>
    <row r="91" spans="1:3" ht="14.5" customHeight="1" x14ac:dyDescent="0.35">
      <c r="A91" s="31" t="s">
        <v>15</v>
      </c>
      <c r="B91" s="32" t="s">
        <v>324</v>
      </c>
      <c r="C91" s="34" t="s">
        <v>24</v>
      </c>
    </row>
    <row r="92" spans="1:3" ht="14.5" customHeight="1" x14ac:dyDescent="0.35">
      <c r="A92" s="31" t="s">
        <v>15</v>
      </c>
      <c r="B92" s="32" t="s">
        <v>325</v>
      </c>
      <c r="C92" s="34" t="s">
        <v>24</v>
      </c>
    </row>
    <row r="93" spans="1:3" ht="14.5" customHeight="1" x14ac:dyDescent="0.35">
      <c r="A93" s="31" t="s">
        <v>15</v>
      </c>
      <c r="B93" s="32" t="s">
        <v>326</v>
      </c>
      <c r="C93" s="34" t="s">
        <v>24</v>
      </c>
    </row>
    <row r="94" spans="1:3" ht="14.5" customHeight="1" x14ac:dyDescent="0.35">
      <c r="A94" s="31" t="s">
        <v>7</v>
      </c>
      <c r="B94" s="41" t="s">
        <v>250</v>
      </c>
      <c r="C94" s="36" t="s">
        <v>28</v>
      </c>
    </row>
    <row r="95" spans="1:3" ht="14.5" customHeight="1" x14ac:dyDescent="0.35">
      <c r="A95" s="31" t="s">
        <v>7</v>
      </c>
      <c r="B95" s="32" t="s">
        <v>303</v>
      </c>
      <c r="C95" s="34" t="s">
        <v>28</v>
      </c>
    </row>
    <row r="96" spans="1:3" ht="14.5" customHeight="1" x14ac:dyDescent="0.35">
      <c r="A96" s="31" t="s">
        <v>7</v>
      </c>
      <c r="B96" s="41" t="s">
        <v>305</v>
      </c>
      <c r="C96" s="36" t="s">
        <v>28</v>
      </c>
    </row>
    <row r="97" spans="1:3" ht="14.5" customHeight="1" x14ac:dyDescent="0.35">
      <c r="A97" s="31" t="s">
        <v>7</v>
      </c>
      <c r="B97" s="32" t="s">
        <v>307</v>
      </c>
      <c r="C97" s="34" t="s">
        <v>28</v>
      </c>
    </row>
    <row r="98" spans="1:3" ht="14.5" customHeight="1" x14ac:dyDescent="0.35">
      <c r="A98" s="31" t="s">
        <v>7</v>
      </c>
      <c r="B98" s="32" t="s">
        <v>302</v>
      </c>
      <c r="C98" s="34" t="s">
        <v>24</v>
      </c>
    </row>
    <row r="99" spans="1:3" ht="14.5" customHeight="1" x14ac:dyDescent="0.35">
      <c r="A99" s="31" t="s">
        <v>7</v>
      </c>
      <c r="B99" s="32" t="s">
        <v>304</v>
      </c>
      <c r="C99" s="34" t="s">
        <v>24</v>
      </c>
    </row>
    <row r="100" spans="1:3" ht="14.5" customHeight="1" x14ac:dyDescent="0.35">
      <c r="A100" s="31" t="s">
        <v>7</v>
      </c>
      <c r="B100" s="32" t="s">
        <v>306</v>
      </c>
      <c r="C100" s="34" t="s">
        <v>24</v>
      </c>
    </row>
    <row r="101" spans="1:3" ht="14.5" customHeight="1" x14ac:dyDescent="0.35">
      <c r="A101" s="38" t="s">
        <v>7</v>
      </c>
      <c r="B101" s="39" t="s">
        <v>308</v>
      </c>
      <c r="C101" s="33" t="s">
        <v>24</v>
      </c>
    </row>
    <row r="102" spans="1:3" ht="14.5" customHeight="1" x14ac:dyDescent="0.35">
      <c r="A102" s="31" t="s">
        <v>7</v>
      </c>
      <c r="B102" s="32" t="s">
        <v>309</v>
      </c>
      <c r="C102" s="34" t="s">
        <v>24</v>
      </c>
    </row>
    <row r="103" spans="1:3" ht="14.5" customHeight="1" x14ac:dyDescent="0.35">
      <c r="A103" s="31" t="s">
        <v>18</v>
      </c>
      <c r="B103" s="32" t="s">
        <v>228</v>
      </c>
      <c r="C103" s="34" t="s">
        <v>28</v>
      </c>
    </row>
    <row r="104" spans="1:3" ht="14.5" customHeight="1" x14ac:dyDescent="0.35">
      <c r="A104" s="38" t="s">
        <v>18</v>
      </c>
      <c r="B104" s="39" t="s">
        <v>237</v>
      </c>
      <c r="C104" s="33" t="s">
        <v>28</v>
      </c>
    </row>
    <row r="105" spans="1:3" ht="14.5" customHeight="1" x14ac:dyDescent="0.35">
      <c r="A105" s="31" t="s">
        <v>18</v>
      </c>
      <c r="B105" s="32" t="s">
        <v>233</v>
      </c>
      <c r="C105" s="34" t="s">
        <v>24</v>
      </c>
    </row>
    <row r="106" spans="1:3" ht="14.5" customHeight="1" x14ac:dyDescent="0.35">
      <c r="A106" s="31" t="s">
        <v>18</v>
      </c>
      <c r="B106" s="32" t="s">
        <v>22</v>
      </c>
      <c r="C106" s="34" t="s">
        <v>24</v>
      </c>
    </row>
    <row r="107" spans="1:3" ht="14.5" customHeight="1" x14ac:dyDescent="0.35">
      <c r="A107" s="31" t="s">
        <v>18</v>
      </c>
      <c r="B107" s="32" t="s">
        <v>16</v>
      </c>
      <c r="C107" s="34" t="s">
        <v>24</v>
      </c>
    </row>
    <row r="108" spans="1:3" ht="14.5" customHeight="1" x14ac:dyDescent="0.35">
      <c r="A108" s="31" t="s">
        <v>18</v>
      </c>
      <c r="B108" s="32" t="s">
        <v>234</v>
      </c>
      <c r="C108" s="34" t="s">
        <v>24</v>
      </c>
    </row>
    <row r="109" spans="1:3" ht="14.5" customHeight="1" x14ac:dyDescent="0.35">
      <c r="A109" s="35" t="s">
        <v>18</v>
      </c>
      <c r="B109" s="40" t="s">
        <v>235</v>
      </c>
      <c r="C109" s="34" t="s">
        <v>24</v>
      </c>
    </row>
    <row r="110" spans="1:3" ht="14.5" customHeight="1" x14ac:dyDescent="0.35">
      <c r="A110" s="31" t="s">
        <v>18</v>
      </c>
      <c r="B110" s="32" t="s">
        <v>244</v>
      </c>
      <c r="C110" s="34" t="s">
        <v>24</v>
      </c>
    </row>
    <row r="111" spans="1:3" ht="14.5" customHeight="1" x14ac:dyDescent="0.35">
      <c r="A111" s="38" t="s">
        <v>18</v>
      </c>
      <c r="B111" s="39" t="s">
        <v>310</v>
      </c>
      <c r="C111" s="33" t="s">
        <v>24</v>
      </c>
    </row>
    <row r="112" spans="1:3" ht="14.5" customHeight="1" x14ac:dyDescent="0.35">
      <c r="A112" s="31" t="s">
        <v>18</v>
      </c>
      <c r="B112" s="32" t="s">
        <v>327</v>
      </c>
      <c r="C112" s="34" t="s">
        <v>24</v>
      </c>
    </row>
    <row r="113" spans="1:3" ht="14.5" customHeight="1" x14ac:dyDescent="0.35">
      <c r="A113" s="31" t="s">
        <v>10</v>
      </c>
      <c r="B113" s="32" t="s">
        <v>332</v>
      </c>
      <c r="C113" s="34" t="s">
        <v>24</v>
      </c>
    </row>
    <row r="114" spans="1:3" ht="14.5" customHeight="1" x14ac:dyDescent="0.35">
      <c r="A114" s="31" t="s">
        <v>14</v>
      </c>
      <c r="B114" s="32" t="s">
        <v>258</v>
      </c>
      <c r="C114" s="34" t="s">
        <v>24</v>
      </c>
    </row>
    <row r="115" spans="1:3" ht="14.5" customHeight="1" x14ac:dyDescent="0.35">
      <c r="A115" s="31" t="s">
        <v>14</v>
      </c>
      <c r="B115" s="32" t="s">
        <v>259</v>
      </c>
      <c r="C115" s="34" t="s">
        <v>24</v>
      </c>
    </row>
    <row r="116" spans="1:3" ht="14.5" customHeight="1" x14ac:dyDescent="0.35">
      <c r="A116" s="31" t="s">
        <v>3</v>
      </c>
      <c r="B116" s="32" t="s">
        <v>262</v>
      </c>
      <c r="C116" s="34" t="s">
        <v>24</v>
      </c>
    </row>
    <row r="117" spans="1:3" ht="14.5" customHeight="1" x14ac:dyDescent="0.35">
      <c r="A117" s="31" t="s">
        <v>3</v>
      </c>
      <c r="B117" s="37" t="s">
        <v>264</v>
      </c>
      <c r="C117" s="34" t="s">
        <v>24</v>
      </c>
    </row>
    <row r="118" spans="1:3" ht="14.5" customHeight="1" x14ac:dyDescent="0.35">
      <c r="A118" s="31" t="s">
        <v>3</v>
      </c>
      <c r="B118" s="32" t="s">
        <v>265</v>
      </c>
      <c r="C118" s="34" t="s">
        <v>24</v>
      </c>
    </row>
  </sheetData>
  <sortState xmlns:xlrd2="http://schemas.microsoft.com/office/spreadsheetml/2017/richdata2" ref="A2:C118">
    <sortCondition ref="A2:A118"/>
    <sortCondition ref="C2:C118"/>
  </sortState>
  <conditionalFormatting sqref="A1:A1048576">
    <cfRule type="duplicateValues" dxfId="4" priority="1"/>
  </conditionalFormatting>
  <dataValidations count="1">
    <dataValidation type="list" allowBlank="1" showInputMessage="1" showErrorMessage="1" sqref="A2:A118" xr:uid="{4F24DDF6-84A8-41FD-A277-1FA381080A0C}">
      <formula1>SubCategories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dBackground">
                <anchor>
                  <from>
                    <xdr:col>5</xdr:col>
                    <xdr:colOff>431800</xdr:colOff>
                    <xdr:row>14</xdr:row>
                    <xdr:rowOff>171450</xdr:rowOff>
                  </from>
                  <to>
                    <xdr:col>10</xdr:col>
                    <xdr:colOff>438150</xdr:colOff>
                    <xdr:row>16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ReplaceOptionsStandardword">
                <anchor>
                  <from>
                    <xdr:col>5</xdr:col>
                    <xdr:colOff>107950</xdr:colOff>
                    <xdr:row>26</xdr:row>
                    <xdr:rowOff>133350</xdr:rowOff>
                  </from>
                  <to>
                    <xdr:col>8</xdr:col>
                    <xdr:colOff>469900</xdr:colOff>
                    <xdr:row>28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reenBackground">
                <anchor>
                  <from>
                    <xdr:col>5</xdr:col>
                    <xdr:colOff>412750</xdr:colOff>
                    <xdr:row>18</xdr:row>
                    <xdr:rowOff>0</xdr:rowOff>
                  </from>
                  <to>
                    <xdr:col>10</xdr:col>
                    <xdr:colOff>463550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Button 11">
              <controlPr defaultSize="0" print="0" autoFill="0" autoPict="0" macro="[0]!filterHypen">
                <anchor>
                  <from>
                    <xdr:col>5</xdr:col>
                    <xdr:colOff>101600</xdr:colOff>
                    <xdr:row>28</xdr:row>
                    <xdr:rowOff>133350</xdr:rowOff>
                  </from>
                  <to>
                    <xdr:col>8</xdr:col>
                    <xdr:colOff>444500</xdr:colOff>
                    <xdr:row>30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8" name="Button 29">
              <controlPr defaultSize="0" print="0" autoFill="0" autoPict="0" macro="[0]!SelectRangeWithValuesv2">
                <anchor>
                  <from>
                    <xdr:col>5</xdr:col>
                    <xdr:colOff>127000</xdr:colOff>
                    <xdr:row>24</xdr:row>
                    <xdr:rowOff>95250</xdr:rowOff>
                  </from>
                  <to>
                    <xdr:col>8</xdr:col>
                    <xdr:colOff>501650</xdr:colOff>
                    <xdr:row>26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9" name="Button 33">
              <controlPr defaultSize="0" print="0" autoFill="0" autoPict="0" macro="[0]!DeleteColumnsNotGreenOrRed">
                <anchor>
                  <from>
                    <xdr:col>5</xdr:col>
                    <xdr:colOff>76200</xdr:colOff>
                    <xdr:row>21</xdr:row>
                    <xdr:rowOff>101600</xdr:rowOff>
                  </from>
                  <to>
                    <xdr:col>8</xdr:col>
                    <xdr:colOff>508000</xdr:colOff>
                    <xdr:row>23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10" name="Button 37">
              <controlPr defaultSize="0" print="0" autoFill="0" autoPict="0" macro="[0]!select_and_Sort">
                <anchor>
                  <from>
                    <xdr:col>5</xdr:col>
                    <xdr:colOff>114300</xdr:colOff>
                    <xdr:row>31</xdr:row>
                    <xdr:rowOff>31750</xdr:rowOff>
                  </from>
                  <to>
                    <xdr:col>8</xdr:col>
                    <xdr:colOff>431800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11" name="Button 38">
              <controlPr defaultSize="0" print="0" autoFill="0" autoPict="0" macro="[0]!CombinedMacro">
                <anchor>
                  <from>
                    <xdr:col>9</xdr:col>
                    <xdr:colOff>158750</xdr:colOff>
                    <xdr:row>21</xdr:row>
                    <xdr:rowOff>101600</xdr:rowOff>
                  </from>
                  <to>
                    <xdr:col>11</xdr:col>
                    <xdr:colOff>298450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2" name="Button 49">
              <controlPr defaultSize="0" print="0" autoFill="0" autoPict="0" macro="[0]!filterHypenDynamicRange">
                <anchor>
                  <from>
                    <xdr:col>9</xdr:col>
                    <xdr:colOff>152400</xdr:colOff>
                    <xdr:row>30</xdr:row>
                    <xdr:rowOff>38100</xdr:rowOff>
                  </from>
                  <to>
                    <xdr:col>11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3" name="Button 50">
              <controlPr defaultSize="0" print="0" autoFill="0" autoPict="0" macro="[0]!SortDynamicCurrentRegion">
                <anchor>
                  <from>
                    <xdr:col>9</xdr:col>
                    <xdr:colOff>146050</xdr:colOff>
                    <xdr:row>32</xdr:row>
                    <xdr:rowOff>158750</xdr:rowOff>
                  </from>
                  <to>
                    <xdr:col>11</xdr:col>
                    <xdr:colOff>311150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4" name="Button 51">
              <controlPr defaultSize="0" print="0" autoFill="0" autoPict="0" macro="[0]!CompareTwoWorksheets">
                <anchor>
                  <from>
                    <xdr:col>5</xdr:col>
                    <xdr:colOff>57150</xdr:colOff>
                    <xdr:row>36</xdr:row>
                    <xdr:rowOff>57150</xdr:rowOff>
                  </from>
                  <to>
                    <xdr:col>10</xdr:col>
                    <xdr:colOff>298450</xdr:colOff>
                    <xdr:row>39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2209-35A7-458C-97DE-22BBAECDEFDA}">
  <sheetPr codeName="Hoja1"/>
  <dimension ref="A1:D141"/>
  <sheetViews>
    <sheetView workbookViewId="0">
      <selection sqref="A1:D141"/>
    </sheetView>
  </sheetViews>
  <sheetFormatPr baseColWidth="10" defaultRowHeight="14.5" x14ac:dyDescent="0.35"/>
  <cols>
    <col min="1" max="1" width="17.6328125" bestFit="1" customWidth="1"/>
    <col min="2" max="2" width="22.6328125" bestFit="1" customWidth="1"/>
    <col min="3" max="3" width="80.7265625" bestFit="1" customWidth="1"/>
    <col min="4" max="4" width="10.54296875" bestFit="1" customWidth="1"/>
  </cols>
  <sheetData>
    <row r="1" spans="1:4" x14ac:dyDescent="0.35">
      <c r="A1" t="s">
        <v>333</v>
      </c>
      <c r="B1" t="s">
        <v>25</v>
      </c>
      <c r="C1" t="s">
        <v>26</v>
      </c>
      <c r="D1" t="s">
        <v>27</v>
      </c>
    </row>
    <row r="2" spans="1:4" x14ac:dyDescent="0.35">
      <c r="A2" s="53" t="s">
        <v>334</v>
      </c>
      <c r="B2" s="53" t="s">
        <v>161</v>
      </c>
      <c r="C2" s="53" t="s">
        <v>175</v>
      </c>
      <c r="D2" s="53" t="s">
        <v>28</v>
      </c>
    </row>
    <row r="3" spans="1:4" x14ac:dyDescent="0.35">
      <c r="A3" s="53" t="s">
        <v>334</v>
      </c>
      <c r="B3" s="53" t="s">
        <v>161</v>
      </c>
      <c r="C3" s="53" t="s">
        <v>176</v>
      </c>
      <c r="D3" s="53" t="s">
        <v>28</v>
      </c>
    </row>
    <row r="4" spans="1:4" x14ac:dyDescent="0.35">
      <c r="A4" s="53" t="s">
        <v>334</v>
      </c>
      <c r="B4" s="53" t="s">
        <v>161</v>
      </c>
      <c r="C4" s="53" t="s">
        <v>164</v>
      </c>
      <c r="D4" s="53" t="s">
        <v>28</v>
      </c>
    </row>
    <row r="5" spans="1:4" x14ac:dyDescent="0.35">
      <c r="A5" s="53" t="s">
        <v>334</v>
      </c>
      <c r="B5" s="53" t="s">
        <v>161</v>
      </c>
      <c r="C5" s="53" t="s">
        <v>177</v>
      </c>
      <c r="D5" s="53" t="s">
        <v>28</v>
      </c>
    </row>
    <row r="6" spans="1:4" x14ac:dyDescent="0.35">
      <c r="A6" s="53" t="s">
        <v>334</v>
      </c>
      <c r="B6" s="53" t="s">
        <v>161</v>
      </c>
      <c r="C6" s="53" t="s">
        <v>166</v>
      </c>
      <c r="D6" s="53" t="s">
        <v>28</v>
      </c>
    </row>
    <row r="7" spans="1:4" x14ac:dyDescent="0.35">
      <c r="A7" s="53" t="s">
        <v>334</v>
      </c>
      <c r="B7" s="53" t="s">
        <v>161</v>
      </c>
      <c r="C7" s="53" t="s">
        <v>169</v>
      </c>
      <c r="D7" s="53" t="s">
        <v>28</v>
      </c>
    </row>
    <row r="8" spans="1:4" x14ac:dyDescent="0.35">
      <c r="A8" s="53" t="s">
        <v>334</v>
      </c>
      <c r="B8" s="53" t="s">
        <v>161</v>
      </c>
      <c r="C8" s="53" t="s">
        <v>170</v>
      </c>
      <c r="D8" s="53" t="s">
        <v>28</v>
      </c>
    </row>
    <row r="9" spans="1:4" x14ac:dyDescent="0.35">
      <c r="A9" s="53" t="s">
        <v>334</v>
      </c>
      <c r="B9" s="53" t="s">
        <v>161</v>
      </c>
      <c r="C9" s="53" t="s">
        <v>171</v>
      </c>
      <c r="D9" s="53" t="s">
        <v>28</v>
      </c>
    </row>
    <row r="10" spans="1:4" x14ac:dyDescent="0.35">
      <c r="A10" s="53" t="s">
        <v>334</v>
      </c>
      <c r="B10" s="53" t="s">
        <v>178</v>
      </c>
      <c r="C10" s="53" t="s">
        <v>172</v>
      </c>
      <c r="D10" s="53" t="s">
        <v>28</v>
      </c>
    </row>
    <row r="11" spans="1:4" x14ac:dyDescent="0.35">
      <c r="A11" s="53" t="s">
        <v>334</v>
      </c>
      <c r="B11" s="53" t="s">
        <v>178</v>
      </c>
      <c r="C11" s="53" t="s">
        <v>173</v>
      </c>
      <c r="D11" s="53" t="s">
        <v>28</v>
      </c>
    </row>
    <row r="12" spans="1:4" x14ac:dyDescent="0.35">
      <c r="A12" s="53" t="s">
        <v>225</v>
      </c>
      <c r="B12" s="53" t="s">
        <v>1</v>
      </c>
      <c r="C12" s="53" t="s">
        <v>32</v>
      </c>
      <c r="D12" s="53" t="s">
        <v>24</v>
      </c>
    </row>
    <row r="13" spans="1:4" x14ac:dyDescent="0.35">
      <c r="A13" s="53" t="s">
        <v>225</v>
      </c>
      <c r="B13" s="53" t="s">
        <v>1</v>
      </c>
      <c r="C13" s="53" t="s">
        <v>33</v>
      </c>
      <c r="D13" s="53" t="s">
        <v>24</v>
      </c>
    </row>
    <row r="14" spans="1:4" x14ac:dyDescent="0.35">
      <c r="A14" s="53" t="s">
        <v>225</v>
      </c>
      <c r="B14" s="53" t="s">
        <v>1</v>
      </c>
      <c r="C14" s="53" t="s">
        <v>34</v>
      </c>
      <c r="D14" s="53" t="s">
        <v>24</v>
      </c>
    </row>
    <row r="15" spans="1:4" x14ac:dyDescent="0.35">
      <c r="A15" s="53" t="s">
        <v>225</v>
      </c>
      <c r="B15" s="53" t="s">
        <v>1</v>
      </c>
      <c r="C15" s="53" t="s">
        <v>36</v>
      </c>
      <c r="D15" s="53" t="s">
        <v>24</v>
      </c>
    </row>
    <row r="16" spans="1:4" x14ac:dyDescent="0.35">
      <c r="A16" s="53" t="s">
        <v>225</v>
      </c>
      <c r="B16" s="53" t="s">
        <v>1</v>
      </c>
      <c r="C16" s="53" t="s">
        <v>37</v>
      </c>
      <c r="D16" s="53" t="s">
        <v>24</v>
      </c>
    </row>
    <row r="17" spans="1:4" x14ac:dyDescent="0.35">
      <c r="A17" s="53" t="s">
        <v>225</v>
      </c>
      <c r="B17" s="53" t="s">
        <v>1</v>
      </c>
      <c r="C17" s="53" t="s">
        <v>39</v>
      </c>
      <c r="D17" s="53" t="s">
        <v>24</v>
      </c>
    </row>
    <row r="18" spans="1:4" x14ac:dyDescent="0.35">
      <c r="A18" s="53" t="s">
        <v>225</v>
      </c>
      <c r="B18" s="53" t="s">
        <v>1</v>
      </c>
      <c r="C18" s="53" t="s">
        <v>40</v>
      </c>
      <c r="D18" s="53" t="s">
        <v>24</v>
      </c>
    </row>
    <row r="19" spans="1:4" x14ac:dyDescent="0.35">
      <c r="A19" s="53" t="s">
        <v>225</v>
      </c>
      <c r="B19" s="53" t="s">
        <v>1</v>
      </c>
      <c r="C19" s="53" t="s">
        <v>42</v>
      </c>
      <c r="D19" s="53" t="s">
        <v>24</v>
      </c>
    </row>
    <row r="20" spans="1:4" x14ac:dyDescent="0.35">
      <c r="A20" s="53" t="s">
        <v>225</v>
      </c>
      <c r="B20" s="53" t="s">
        <v>1</v>
      </c>
      <c r="C20" s="53" t="s">
        <v>179</v>
      </c>
      <c r="D20" s="53" t="s">
        <v>24</v>
      </c>
    </row>
    <row r="21" spans="1:4" x14ac:dyDescent="0.35">
      <c r="A21" s="53" t="s">
        <v>225</v>
      </c>
      <c r="B21" s="53" t="s">
        <v>1</v>
      </c>
      <c r="C21" s="53" t="s">
        <v>46</v>
      </c>
      <c r="D21" s="53" t="s">
        <v>24</v>
      </c>
    </row>
    <row r="22" spans="1:4" x14ac:dyDescent="0.35">
      <c r="A22" s="53" t="s">
        <v>225</v>
      </c>
      <c r="B22" s="53" t="s">
        <v>1</v>
      </c>
      <c r="C22" s="53" t="s">
        <v>47</v>
      </c>
      <c r="D22" s="53" t="s">
        <v>24</v>
      </c>
    </row>
    <row r="23" spans="1:4" x14ac:dyDescent="0.35">
      <c r="A23" s="53" t="s">
        <v>225</v>
      </c>
      <c r="B23" s="53" t="s">
        <v>1</v>
      </c>
      <c r="C23" s="53" t="s">
        <v>51</v>
      </c>
      <c r="D23" s="53" t="s">
        <v>24</v>
      </c>
    </row>
    <row r="24" spans="1:4" x14ac:dyDescent="0.35">
      <c r="A24" s="53" t="s">
        <v>225</v>
      </c>
      <c r="B24" s="53" t="s">
        <v>1</v>
      </c>
      <c r="C24" s="53" t="s">
        <v>52</v>
      </c>
      <c r="D24" s="53" t="s">
        <v>24</v>
      </c>
    </row>
    <row r="25" spans="1:4" x14ac:dyDescent="0.35">
      <c r="A25" s="53" t="s">
        <v>225</v>
      </c>
      <c r="B25" s="53" t="s">
        <v>1</v>
      </c>
      <c r="C25" s="53" t="s">
        <v>180</v>
      </c>
      <c r="D25" s="53" t="s">
        <v>24</v>
      </c>
    </row>
    <row r="26" spans="1:4" x14ac:dyDescent="0.35">
      <c r="A26" s="53" t="s">
        <v>225</v>
      </c>
      <c r="B26" s="53" t="s">
        <v>1</v>
      </c>
      <c r="C26" s="53" t="s">
        <v>55</v>
      </c>
      <c r="D26" s="53" t="s">
        <v>24</v>
      </c>
    </row>
    <row r="27" spans="1:4" x14ac:dyDescent="0.35">
      <c r="A27" s="53" t="s">
        <v>225</v>
      </c>
      <c r="B27" s="53" t="s">
        <v>1</v>
      </c>
      <c r="C27" s="53" t="s">
        <v>57</v>
      </c>
      <c r="D27" s="53" t="s">
        <v>24</v>
      </c>
    </row>
    <row r="28" spans="1:4" x14ac:dyDescent="0.35">
      <c r="A28" s="53" t="s">
        <v>225</v>
      </c>
      <c r="B28" s="53" t="s">
        <v>1</v>
      </c>
      <c r="C28" s="53" t="s">
        <v>181</v>
      </c>
      <c r="D28" s="53" t="s">
        <v>24</v>
      </c>
    </row>
    <row r="29" spans="1:4" x14ac:dyDescent="0.35">
      <c r="A29" s="53" t="s">
        <v>225</v>
      </c>
      <c r="B29" s="53" t="s">
        <v>1</v>
      </c>
      <c r="C29" s="53" t="s">
        <v>61</v>
      </c>
      <c r="D29" s="53" t="s">
        <v>24</v>
      </c>
    </row>
    <row r="30" spans="1:4" x14ac:dyDescent="0.35">
      <c r="A30" s="53" t="s">
        <v>225</v>
      </c>
      <c r="B30" s="53" t="s">
        <v>1</v>
      </c>
      <c r="C30" s="53" t="s">
        <v>182</v>
      </c>
      <c r="D30" s="53" t="s">
        <v>28</v>
      </c>
    </row>
    <row r="31" spans="1:4" x14ac:dyDescent="0.35">
      <c r="A31" s="53" t="s">
        <v>225</v>
      </c>
      <c r="B31" s="53" t="s">
        <v>1</v>
      </c>
      <c r="C31" s="53" t="s">
        <v>183</v>
      </c>
      <c r="D31" s="53" t="s">
        <v>28</v>
      </c>
    </row>
    <row r="32" spans="1:4" x14ac:dyDescent="0.35">
      <c r="A32" s="53" t="s">
        <v>225</v>
      </c>
      <c r="B32" s="53" t="s">
        <v>1</v>
      </c>
      <c r="C32" s="53" t="s">
        <v>43</v>
      </c>
      <c r="D32" s="53" t="s">
        <v>28</v>
      </c>
    </row>
    <row r="33" spans="1:4" x14ac:dyDescent="0.35">
      <c r="A33" s="53" t="s">
        <v>225</v>
      </c>
      <c r="B33" s="53" t="s">
        <v>1</v>
      </c>
      <c r="C33" s="53" t="s">
        <v>45</v>
      </c>
      <c r="D33" s="53" t="s">
        <v>28</v>
      </c>
    </row>
    <row r="34" spans="1:4" x14ac:dyDescent="0.35">
      <c r="A34" s="53" t="s">
        <v>225</v>
      </c>
      <c r="B34" s="53" t="s">
        <v>1</v>
      </c>
      <c r="C34" s="53" t="s">
        <v>184</v>
      </c>
      <c r="D34" s="53" t="s">
        <v>28</v>
      </c>
    </row>
    <row r="35" spans="1:4" x14ac:dyDescent="0.35">
      <c r="A35" s="53" t="s">
        <v>225</v>
      </c>
      <c r="B35" s="53" t="s">
        <v>1</v>
      </c>
      <c r="C35" s="53" t="s">
        <v>185</v>
      </c>
      <c r="D35" s="53" t="s">
        <v>28</v>
      </c>
    </row>
    <row r="36" spans="1:4" x14ac:dyDescent="0.35">
      <c r="A36" s="53" t="s">
        <v>225</v>
      </c>
      <c r="B36" s="53" t="s">
        <v>1</v>
      </c>
      <c r="C36" s="53" t="s">
        <v>186</v>
      </c>
      <c r="D36" s="53" t="s">
        <v>28</v>
      </c>
    </row>
    <row r="37" spans="1:4" x14ac:dyDescent="0.35">
      <c r="A37" s="53" t="s">
        <v>225</v>
      </c>
      <c r="B37" s="53" t="s">
        <v>1</v>
      </c>
      <c r="C37" s="53" t="s">
        <v>58</v>
      </c>
      <c r="D37" s="53" t="s">
        <v>28</v>
      </c>
    </row>
    <row r="38" spans="1:4" x14ac:dyDescent="0.35">
      <c r="A38" s="53" t="s">
        <v>225</v>
      </c>
      <c r="B38" s="53" t="s">
        <v>1</v>
      </c>
      <c r="C38" s="53" t="s">
        <v>60</v>
      </c>
      <c r="D38" s="53" t="s">
        <v>28</v>
      </c>
    </row>
    <row r="39" spans="1:4" x14ac:dyDescent="0.35">
      <c r="A39" s="53" t="s">
        <v>225</v>
      </c>
      <c r="B39" s="53" t="s">
        <v>49</v>
      </c>
      <c r="C39" s="53" t="s">
        <v>50</v>
      </c>
      <c r="D39" s="53" t="s">
        <v>28</v>
      </c>
    </row>
    <row r="40" spans="1:4" x14ac:dyDescent="0.35">
      <c r="A40" s="53" t="s">
        <v>225</v>
      </c>
      <c r="B40" s="53" t="s">
        <v>2</v>
      </c>
      <c r="C40" s="53" t="s">
        <v>41</v>
      </c>
      <c r="D40" s="53" t="s">
        <v>24</v>
      </c>
    </row>
    <row r="41" spans="1:4" x14ac:dyDescent="0.35">
      <c r="A41" s="53" t="s">
        <v>225</v>
      </c>
      <c r="B41" s="53" t="s">
        <v>2</v>
      </c>
      <c r="C41" s="53" t="s">
        <v>187</v>
      </c>
      <c r="D41" s="53" t="s">
        <v>28</v>
      </c>
    </row>
    <row r="42" spans="1:4" x14ac:dyDescent="0.35">
      <c r="A42" s="53" t="s">
        <v>225</v>
      </c>
      <c r="B42" s="53" t="s">
        <v>3</v>
      </c>
      <c r="C42" s="53" t="s">
        <v>62</v>
      </c>
      <c r="D42" s="53" t="s">
        <v>24</v>
      </c>
    </row>
    <row r="43" spans="1:4" x14ac:dyDescent="0.35">
      <c r="A43" s="53" t="s">
        <v>225</v>
      </c>
      <c r="B43" s="53" t="s">
        <v>3</v>
      </c>
      <c r="C43" s="53" t="s">
        <v>64</v>
      </c>
      <c r="D43" s="53" t="s">
        <v>24</v>
      </c>
    </row>
    <row r="44" spans="1:4" x14ac:dyDescent="0.35">
      <c r="A44" s="53" t="s">
        <v>225</v>
      </c>
      <c r="B44" s="53" t="s">
        <v>3</v>
      </c>
      <c r="C44" s="53" t="s">
        <v>65</v>
      </c>
      <c r="D44" s="53" t="s">
        <v>24</v>
      </c>
    </row>
    <row r="45" spans="1:4" x14ac:dyDescent="0.35">
      <c r="A45" s="53" t="s">
        <v>225</v>
      </c>
      <c r="B45" s="53" t="s">
        <v>3</v>
      </c>
      <c r="C45" s="53" t="s">
        <v>66</v>
      </c>
      <c r="D45" s="53" t="s">
        <v>24</v>
      </c>
    </row>
    <row r="46" spans="1:4" x14ac:dyDescent="0.35">
      <c r="A46" s="53" t="s">
        <v>225</v>
      </c>
      <c r="B46" s="53" t="s">
        <v>3</v>
      </c>
      <c r="C46" s="53" t="s">
        <v>188</v>
      </c>
      <c r="D46" s="53" t="s">
        <v>28</v>
      </c>
    </row>
    <row r="47" spans="1:4" x14ac:dyDescent="0.35">
      <c r="A47" s="53" t="s">
        <v>219</v>
      </c>
      <c r="B47" s="53" t="s">
        <v>4</v>
      </c>
      <c r="C47" s="53" t="s">
        <v>67</v>
      </c>
      <c r="D47" s="53" t="s">
        <v>24</v>
      </c>
    </row>
    <row r="48" spans="1:4" x14ac:dyDescent="0.35">
      <c r="A48" s="53" t="s">
        <v>219</v>
      </c>
      <c r="B48" s="53" t="s">
        <v>4</v>
      </c>
      <c r="C48" s="53" t="s">
        <v>20</v>
      </c>
      <c r="D48" s="53" t="s">
        <v>28</v>
      </c>
    </row>
    <row r="49" spans="1:4" x14ac:dyDescent="0.35">
      <c r="A49" s="53" t="s">
        <v>219</v>
      </c>
      <c r="B49" s="53" t="s">
        <v>2</v>
      </c>
      <c r="C49" s="53" t="s">
        <v>69</v>
      </c>
      <c r="D49" s="53" t="s">
        <v>24</v>
      </c>
    </row>
    <row r="50" spans="1:4" x14ac:dyDescent="0.35">
      <c r="A50" s="53" t="s">
        <v>219</v>
      </c>
      <c r="B50" s="53" t="s">
        <v>2</v>
      </c>
      <c r="C50" s="53" t="s">
        <v>189</v>
      </c>
      <c r="D50" s="53" t="s">
        <v>24</v>
      </c>
    </row>
    <row r="51" spans="1:4" x14ac:dyDescent="0.35">
      <c r="A51" s="53" t="s">
        <v>219</v>
      </c>
      <c r="B51" s="53" t="s">
        <v>2</v>
      </c>
      <c r="C51" s="53" t="s">
        <v>190</v>
      </c>
      <c r="D51" s="53" t="s">
        <v>24</v>
      </c>
    </row>
    <row r="52" spans="1:4" x14ac:dyDescent="0.35">
      <c r="A52" s="53" t="s">
        <v>219</v>
      </c>
      <c r="B52" s="53" t="s">
        <v>2</v>
      </c>
      <c r="C52" s="53" t="s">
        <v>76</v>
      </c>
      <c r="D52" s="53" t="s">
        <v>24</v>
      </c>
    </row>
    <row r="53" spans="1:4" x14ac:dyDescent="0.35">
      <c r="A53" s="53" t="s">
        <v>219</v>
      </c>
      <c r="B53" s="53" t="s">
        <v>2</v>
      </c>
      <c r="C53" s="53" t="s">
        <v>80</v>
      </c>
      <c r="D53" s="53" t="s">
        <v>24</v>
      </c>
    </row>
    <row r="54" spans="1:4" x14ac:dyDescent="0.35">
      <c r="A54" s="53" t="s">
        <v>219</v>
      </c>
      <c r="B54" s="53" t="s">
        <v>2</v>
      </c>
      <c r="C54" s="53" t="s">
        <v>82</v>
      </c>
      <c r="D54" s="53" t="s">
        <v>24</v>
      </c>
    </row>
    <row r="55" spans="1:4" x14ac:dyDescent="0.35">
      <c r="A55" s="53" t="s">
        <v>219</v>
      </c>
      <c r="B55" s="53" t="s">
        <v>2</v>
      </c>
      <c r="C55" s="53" t="s">
        <v>83</v>
      </c>
      <c r="D55" s="53" t="s">
        <v>24</v>
      </c>
    </row>
    <row r="56" spans="1:4" x14ac:dyDescent="0.35">
      <c r="A56" s="53" t="s">
        <v>219</v>
      </c>
      <c r="B56" s="53" t="s">
        <v>2</v>
      </c>
      <c r="C56" s="53" t="s">
        <v>84</v>
      </c>
      <c r="D56" s="53" t="s">
        <v>24</v>
      </c>
    </row>
    <row r="57" spans="1:4" x14ac:dyDescent="0.35">
      <c r="A57" s="53" t="s">
        <v>219</v>
      </c>
      <c r="B57" s="53" t="s">
        <v>2</v>
      </c>
      <c r="C57" s="53" t="s">
        <v>85</v>
      </c>
      <c r="D57" s="53" t="s">
        <v>24</v>
      </c>
    </row>
    <row r="58" spans="1:4" x14ac:dyDescent="0.35">
      <c r="A58" s="53" t="s">
        <v>219</v>
      </c>
      <c r="B58" s="53" t="s">
        <v>2</v>
      </c>
      <c r="C58" s="53" t="s">
        <v>86</v>
      </c>
      <c r="D58" s="53" t="s">
        <v>24</v>
      </c>
    </row>
    <row r="59" spans="1:4" x14ac:dyDescent="0.35">
      <c r="A59" s="53" t="s">
        <v>219</v>
      </c>
      <c r="B59" s="53" t="s">
        <v>2</v>
      </c>
      <c r="C59" s="53" t="s">
        <v>87</v>
      </c>
      <c r="D59" s="53" t="s">
        <v>24</v>
      </c>
    </row>
    <row r="60" spans="1:4" x14ac:dyDescent="0.35">
      <c r="A60" s="53" t="s">
        <v>219</v>
      </c>
      <c r="B60" s="53" t="s">
        <v>2</v>
      </c>
      <c r="C60" s="53" t="s">
        <v>191</v>
      </c>
      <c r="D60" s="53" t="s">
        <v>24</v>
      </c>
    </row>
    <row r="61" spans="1:4" x14ac:dyDescent="0.35">
      <c r="A61" s="53" t="s">
        <v>219</v>
      </c>
      <c r="B61" s="53" t="s">
        <v>2</v>
      </c>
      <c r="C61" s="53" t="s">
        <v>90</v>
      </c>
      <c r="D61" s="53" t="s">
        <v>24</v>
      </c>
    </row>
    <row r="62" spans="1:4" x14ac:dyDescent="0.35">
      <c r="A62" s="53" t="s">
        <v>219</v>
      </c>
      <c r="B62" s="53" t="s">
        <v>2</v>
      </c>
      <c r="C62" s="53" t="s">
        <v>92</v>
      </c>
      <c r="D62" s="53" t="s">
        <v>24</v>
      </c>
    </row>
    <row r="63" spans="1:4" x14ac:dyDescent="0.35">
      <c r="A63" s="53" t="s">
        <v>219</v>
      </c>
      <c r="B63" s="53" t="s">
        <v>2</v>
      </c>
      <c r="C63" s="53" t="s">
        <v>94</v>
      </c>
      <c r="D63" s="53" t="s">
        <v>24</v>
      </c>
    </row>
    <row r="64" spans="1:4" x14ac:dyDescent="0.35">
      <c r="A64" s="53" t="s">
        <v>219</v>
      </c>
      <c r="B64" s="53" t="s">
        <v>2</v>
      </c>
      <c r="C64" s="53" t="s">
        <v>95</v>
      </c>
      <c r="D64" s="53" t="s">
        <v>24</v>
      </c>
    </row>
    <row r="65" spans="1:4" x14ac:dyDescent="0.35">
      <c r="A65" s="53" t="s">
        <v>219</v>
      </c>
      <c r="B65" s="53" t="s">
        <v>2</v>
      </c>
      <c r="C65" s="53" t="s">
        <v>96</v>
      </c>
      <c r="D65" s="53" t="s">
        <v>24</v>
      </c>
    </row>
    <row r="66" spans="1:4" x14ac:dyDescent="0.35">
      <c r="A66" s="53" t="s">
        <v>219</v>
      </c>
      <c r="B66" s="53" t="s">
        <v>2</v>
      </c>
      <c r="C66" s="53" t="s">
        <v>192</v>
      </c>
      <c r="D66" s="53" t="s">
        <v>28</v>
      </c>
    </row>
    <row r="67" spans="1:4" x14ac:dyDescent="0.35">
      <c r="A67" s="53" t="s">
        <v>219</v>
      </c>
      <c r="B67" s="53" t="s">
        <v>2</v>
      </c>
      <c r="C67" s="53" t="s">
        <v>70</v>
      </c>
      <c r="D67" s="53" t="s">
        <v>28</v>
      </c>
    </row>
    <row r="68" spans="1:4" x14ac:dyDescent="0.35">
      <c r="A68" s="53" t="s">
        <v>219</v>
      </c>
      <c r="B68" s="53" t="s">
        <v>2</v>
      </c>
      <c r="C68" s="53" t="s">
        <v>193</v>
      </c>
      <c r="D68" s="53" t="s">
        <v>28</v>
      </c>
    </row>
    <row r="69" spans="1:4" x14ac:dyDescent="0.35">
      <c r="A69" s="53" t="s">
        <v>219</v>
      </c>
      <c r="B69" s="53" t="s">
        <v>2</v>
      </c>
      <c r="C69" s="53" t="s">
        <v>194</v>
      </c>
      <c r="D69" s="53" t="s">
        <v>28</v>
      </c>
    </row>
    <row r="70" spans="1:4" x14ac:dyDescent="0.35">
      <c r="A70" s="53" t="s">
        <v>219</v>
      </c>
      <c r="B70" s="53" t="s">
        <v>2</v>
      </c>
      <c r="C70" s="53" t="s">
        <v>195</v>
      </c>
      <c r="D70" s="53" t="s">
        <v>28</v>
      </c>
    </row>
    <row r="71" spans="1:4" x14ac:dyDescent="0.35">
      <c r="A71" s="53" t="s">
        <v>219</v>
      </c>
      <c r="B71" s="53" t="s">
        <v>2</v>
      </c>
      <c r="C71" s="53" t="s">
        <v>75</v>
      </c>
      <c r="D71" s="53" t="s">
        <v>28</v>
      </c>
    </row>
    <row r="72" spans="1:4" x14ac:dyDescent="0.35">
      <c r="A72" s="53" t="s">
        <v>219</v>
      </c>
      <c r="B72" s="53" t="s">
        <v>2</v>
      </c>
      <c r="C72" s="53" t="s">
        <v>77</v>
      </c>
      <c r="D72" s="53" t="s">
        <v>28</v>
      </c>
    </row>
    <row r="73" spans="1:4" x14ac:dyDescent="0.35">
      <c r="A73" s="53" t="s">
        <v>219</v>
      </c>
      <c r="B73" s="53" t="s">
        <v>2</v>
      </c>
      <c r="C73" s="53" t="s">
        <v>78</v>
      </c>
      <c r="D73" s="53" t="s">
        <v>28</v>
      </c>
    </row>
    <row r="74" spans="1:4" x14ac:dyDescent="0.35">
      <c r="A74" s="53" t="s">
        <v>219</v>
      </c>
      <c r="B74" s="53" t="s">
        <v>2</v>
      </c>
      <c r="C74" s="53" t="s">
        <v>79</v>
      </c>
      <c r="D74" s="53" t="s">
        <v>28</v>
      </c>
    </row>
    <row r="75" spans="1:4" x14ac:dyDescent="0.35">
      <c r="A75" s="53" t="s">
        <v>219</v>
      </c>
      <c r="B75" s="53" t="s">
        <v>2</v>
      </c>
      <c r="C75" s="53" t="s">
        <v>81</v>
      </c>
      <c r="D75" s="53" t="s">
        <v>28</v>
      </c>
    </row>
    <row r="76" spans="1:4" x14ac:dyDescent="0.35">
      <c r="A76" s="53" t="s">
        <v>219</v>
      </c>
      <c r="B76" s="53" t="s">
        <v>2</v>
      </c>
      <c r="C76" s="53" t="s">
        <v>21</v>
      </c>
      <c r="D76" s="53" t="s">
        <v>28</v>
      </c>
    </row>
    <row r="77" spans="1:4" x14ac:dyDescent="0.35">
      <c r="A77" s="53" t="s">
        <v>219</v>
      </c>
      <c r="B77" s="53" t="s">
        <v>2</v>
      </c>
      <c r="C77" s="53" t="s">
        <v>89</v>
      </c>
      <c r="D77" s="53" t="s">
        <v>28</v>
      </c>
    </row>
    <row r="78" spans="1:4" x14ac:dyDescent="0.35">
      <c r="A78" s="53" t="s">
        <v>219</v>
      </c>
      <c r="B78" s="53" t="s">
        <v>2</v>
      </c>
      <c r="C78" s="53" t="s">
        <v>91</v>
      </c>
      <c r="D78" s="53" t="s">
        <v>28</v>
      </c>
    </row>
    <row r="79" spans="1:4" x14ac:dyDescent="0.35">
      <c r="A79" s="53" t="s">
        <v>219</v>
      </c>
      <c r="B79" s="53" t="s">
        <v>6</v>
      </c>
      <c r="C79" s="53" t="s">
        <v>196</v>
      </c>
      <c r="D79" s="53" t="s">
        <v>24</v>
      </c>
    </row>
    <row r="80" spans="1:4" x14ac:dyDescent="0.35">
      <c r="A80" s="53" t="s">
        <v>219</v>
      </c>
      <c r="B80" s="53" t="s">
        <v>6</v>
      </c>
      <c r="C80" s="53" t="s">
        <v>197</v>
      </c>
      <c r="D80" s="53" t="s">
        <v>24</v>
      </c>
    </row>
    <row r="81" spans="1:4" x14ac:dyDescent="0.35">
      <c r="A81" s="53" t="s">
        <v>219</v>
      </c>
      <c r="B81" s="53" t="s">
        <v>6</v>
      </c>
      <c r="C81" s="53" t="s">
        <v>29</v>
      </c>
      <c r="D81" s="53" t="s">
        <v>24</v>
      </c>
    </row>
    <row r="82" spans="1:4" x14ac:dyDescent="0.35">
      <c r="A82" s="53" t="s">
        <v>219</v>
      </c>
      <c r="B82" s="53" t="s">
        <v>6</v>
      </c>
      <c r="C82" s="53" t="s">
        <v>104</v>
      </c>
      <c r="D82" s="53" t="s">
        <v>24</v>
      </c>
    </row>
    <row r="83" spans="1:4" x14ac:dyDescent="0.35">
      <c r="A83" s="53" t="s">
        <v>219</v>
      </c>
      <c r="B83" s="53" t="s">
        <v>6</v>
      </c>
      <c r="C83" s="53" t="s">
        <v>98</v>
      </c>
      <c r="D83" s="53" t="s">
        <v>28</v>
      </c>
    </row>
    <row r="84" spans="1:4" x14ac:dyDescent="0.35">
      <c r="A84" s="53" t="s">
        <v>219</v>
      </c>
      <c r="B84" s="53" t="s">
        <v>6</v>
      </c>
      <c r="C84" s="53" t="s">
        <v>99</v>
      </c>
      <c r="D84" s="53" t="s">
        <v>28</v>
      </c>
    </row>
    <row r="85" spans="1:4" x14ac:dyDescent="0.35">
      <c r="A85" s="53" t="s">
        <v>219</v>
      </c>
      <c r="B85" s="53" t="s">
        <v>6</v>
      </c>
      <c r="C85" s="53" t="s">
        <v>105</v>
      </c>
      <c r="D85" s="53" t="s">
        <v>28</v>
      </c>
    </row>
    <row r="86" spans="1:4" x14ac:dyDescent="0.35">
      <c r="A86" s="53" t="s">
        <v>219</v>
      </c>
      <c r="B86" s="53" t="s">
        <v>7</v>
      </c>
      <c r="C86" s="53" t="s">
        <v>198</v>
      </c>
      <c r="D86" s="53" t="s">
        <v>24</v>
      </c>
    </row>
    <row r="87" spans="1:4" x14ac:dyDescent="0.35">
      <c r="A87" s="53" t="s">
        <v>219</v>
      </c>
      <c r="B87" s="53" t="s">
        <v>7</v>
      </c>
      <c r="C87" s="53" t="s">
        <v>109</v>
      </c>
      <c r="D87" s="53" t="s">
        <v>24</v>
      </c>
    </row>
    <row r="88" spans="1:4" x14ac:dyDescent="0.35">
      <c r="A88" s="53" t="s">
        <v>219</v>
      </c>
      <c r="B88" s="53" t="s">
        <v>7</v>
      </c>
      <c r="C88" s="53" t="s">
        <v>110</v>
      </c>
      <c r="D88" s="53" t="s">
        <v>24</v>
      </c>
    </row>
    <row r="89" spans="1:4" x14ac:dyDescent="0.35">
      <c r="A89" s="53" t="s">
        <v>219</v>
      </c>
      <c r="B89" s="53" t="s">
        <v>7</v>
      </c>
      <c r="C89" s="53" t="s">
        <v>107</v>
      </c>
      <c r="D89" s="53" t="s">
        <v>28</v>
      </c>
    </row>
    <row r="90" spans="1:4" x14ac:dyDescent="0.35">
      <c r="A90" s="53" t="s">
        <v>219</v>
      </c>
      <c r="B90" s="53" t="s">
        <v>7</v>
      </c>
      <c r="C90" s="53" t="s">
        <v>108</v>
      </c>
      <c r="D90" s="53" t="s">
        <v>28</v>
      </c>
    </row>
    <row r="91" spans="1:4" x14ac:dyDescent="0.35">
      <c r="A91" s="53" t="s">
        <v>8</v>
      </c>
      <c r="B91" s="53" t="s">
        <v>8</v>
      </c>
      <c r="C91" s="53" t="s">
        <v>111</v>
      </c>
      <c r="D91" s="53" t="s">
        <v>28</v>
      </c>
    </row>
    <row r="92" spans="1:4" x14ac:dyDescent="0.35">
      <c r="A92" s="53" t="s">
        <v>8</v>
      </c>
      <c r="B92" s="53" t="s">
        <v>8</v>
      </c>
      <c r="C92" s="53" t="s">
        <v>112</v>
      </c>
      <c r="D92" s="53" t="s">
        <v>28</v>
      </c>
    </row>
    <row r="93" spans="1:4" x14ac:dyDescent="0.35">
      <c r="A93" s="53" t="s">
        <v>8</v>
      </c>
      <c r="B93" s="53" t="s">
        <v>8</v>
      </c>
      <c r="C93" s="53" t="s">
        <v>113</v>
      </c>
      <c r="D93" s="53" t="s">
        <v>28</v>
      </c>
    </row>
    <row r="94" spans="1:4" x14ac:dyDescent="0.35">
      <c r="A94" s="53" t="s">
        <v>8</v>
      </c>
      <c r="B94" s="53" t="s">
        <v>8</v>
      </c>
      <c r="C94" s="53" t="s">
        <v>114</v>
      </c>
      <c r="D94" s="53" t="s">
        <v>28</v>
      </c>
    </row>
    <row r="95" spans="1:4" x14ac:dyDescent="0.35">
      <c r="A95" s="53" t="s">
        <v>8</v>
      </c>
      <c r="B95" s="53" t="s">
        <v>8</v>
      </c>
      <c r="C95" s="53" t="s">
        <v>9</v>
      </c>
      <c r="D95" s="53" t="s">
        <v>28</v>
      </c>
    </row>
    <row r="96" spans="1:4" x14ac:dyDescent="0.35">
      <c r="A96" s="53" t="s">
        <v>8</v>
      </c>
      <c r="B96" s="53" t="s">
        <v>8</v>
      </c>
      <c r="C96" s="53" t="s">
        <v>199</v>
      </c>
      <c r="D96" s="53" t="s">
        <v>28</v>
      </c>
    </row>
    <row r="97" spans="1:4" x14ac:dyDescent="0.35">
      <c r="A97" s="53" t="s">
        <v>8</v>
      </c>
      <c r="B97" s="53" t="s">
        <v>8</v>
      </c>
      <c r="C97" s="53" t="s">
        <v>200</v>
      </c>
      <c r="D97" s="53" t="s">
        <v>28</v>
      </c>
    </row>
    <row r="98" spans="1:4" x14ac:dyDescent="0.35">
      <c r="A98" s="53" t="s">
        <v>8</v>
      </c>
      <c r="B98" s="53" t="s">
        <v>8</v>
      </c>
      <c r="C98" s="53" t="s">
        <v>117</v>
      </c>
      <c r="D98" s="53" t="s">
        <v>28</v>
      </c>
    </row>
    <row r="99" spans="1:4" x14ac:dyDescent="0.35">
      <c r="A99" s="53" t="s">
        <v>230</v>
      </c>
      <c r="B99" s="53" t="s">
        <v>11</v>
      </c>
      <c r="C99" s="53" t="s">
        <v>201</v>
      </c>
      <c r="D99" s="53" t="s">
        <v>24</v>
      </c>
    </row>
    <row r="100" spans="1:4" x14ac:dyDescent="0.35">
      <c r="A100" s="53" t="s">
        <v>230</v>
      </c>
      <c r="B100" s="53" t="s">
        <v>11</v>
      </c>
      <c r="C100" s="53" t="s">
        <v>202</v>
      </c>
      <c r="D100" s="53" t="s">
        <v>24</v>
      </c>
    </row>
    <row r="101" spans="1:4" x14ac:dyDescent="0.35">
      <c r="A101" s="53" t="s">
        <v>230</v>
      </c>
      <c r="B101" s="53" t="s">
        <v>11</v>
      </c>
      <c r="C101" s="53" t="s">
        <v>123</v>
      </c>
      <c r="D101" s="53" t="s">
        <v>24</v>
      </c>
    </row>
    <row r="102" spans="1:4" x14ac:dyDescent="0.35">
      <c r="A102" s="53" t="s">
        <v>230</v>
      </c>
      <c r="B102" s="53" t="s">
        <v>12</v>
      </c>
      <c r="C102" s="53" t="s">
        <v>124</v>
      </c>
      <c r="D102" s="53" t="s">
        <v>24</v>
      </c>
    </row>
    <row r="103" spans="1:4" x14ac:dyDescent="0.35">
      <c r="A103" s="53" t="s">
        <v>230</v>
      </c>
      <c r="B103" s="53" t="s">
        <v>12</v>
      </c>
      <c r="C103" s="53" t="s">
        <v>203</v>
      </c>
      <c r="D103" s="53" t="s">
        <v>24</v>
      </c>
    </row>
    <row r="104" spans="1:4" x14ac:dyDescent="0.35">
      <c r="A104" s="53" t="s">
        <v>230</v>
      </c>
      <c r="B104" s="53" t="s">
        <v>12</v>
      </c>
      <c r="C104" s="53" t="s">
        <v>127</v>
      </c>
      <c r="D104" s="53" t="s">
        <v>24</v>
      </c>
    </row>
    <row r="105" spans="1:4" x14ac:dyDescent="0.35">
      <c r="A105" s="53" t="s">
        <v>230</v>
      </c>
      <c r="B105" s="53" t="s">
        <v>12</v>
      </c>
      <c r="C105" s="53" t="s">
        <v>128</v>
      </c>
      <c r="D105" s="53" t="s">
        <v>24</v>
      </c>
    </row>
    <row r="106" spans="1:4" x14ac:dyDescent="0.35">
      <c r="A106" s="53" t="s">
        <v>230</v>
      </c>
      <c r="B106" s="53" t="s">
        <v>12</v>
      </c>
      <c r="C106" s="53" t="s">
        <v>204</v>
      </c>
      <c r="D106" s="53" t="s">
        <v>24</v>
      </c>
    </row>
    <row r="107" spans="1:4" x14ac:dyDescent="0.35">
      <c r="A107" s="53" t="s">
        <v>230</v>
      </c>
      <c r="B107" s="53" t="s">
        <v>12</v>
      </c>
      <c r="C107" s="53" t="s">
        <v>131</v>
      </c>
      <c r="D107" s="53" t="s">
        <v>24</v>
      </c>
    </row>
    <row r="108" spans="1:4" x14ac:dyDescent="0.35">
      <c r="A108" s="53" t="s">
        <v>230</v>
      </c>
      <c r="B108" s="53" t="s">
        <v>12</v>
      </c>
      <c r="C108" s="53" t="s">
        <v>205</v>
      </c>
      <c r="D108" s="53" t="s">
        <v>24</v>
      </c>
    </row>
    <row r="109" spans="1:4" x14ac:dyDescent="0.35">
      <c r="A109" s="53" t="s">
        <v>230</v>
      </c>
      <c r="B109" s="53" t="s">
        <v>12</v>
      </c>
      <c r="C109" s="53" t="s">
        <v>206</v>
      </c>
      <c r="D109" s="53" t="s">
        <v>24</v>
      </c>
    </row>
    <row r="110" spans="1:4" x14ac:dyDescent="0.35">
      <c r="A110" s="53" t="s">
        <v>230</v>
      </c>
      <c r="B110" s="53" t="s">
        <v>12</v>
      </c>
      <c r="C110" s="53" t="s">
        <v>134</v>
      </c>
      <c r="D110" s="53" t="s">
        <v>24</v>
      </c>
    </row>
    <row r="111" spans="1:4" x14ac:dyDescent="0.35">
      <c r="A111" s="53" t="s">
        <v>230</v>
      </c>
      <c r="B111" s="53" t="s">
        <v>12</v>
      </c>
      <c r="C111" s="53" t="s">
        <v>135</v>
      </c>
      <c r="D111" s="53" t="s">
        <v>24</v>
      </c>
    </row>
    <row r="112" spans="1:4" x14ac:dyDescent="0.35">
      <c r="A112" s="53" t="s">
        <v>230</v>
      </c>
      <c r="B112" s="53" t="s">
        <v>12</v>
      </c>
      <c r="C112" s="53" t="s">
        <v>136</v>
      </c>
      <c r="D112" s="53" t="s">
        <v>24</v>
      </c>
    </row>
    <row r="113" spans="1:4" x14ac:dyDescent="0.35">
      <c r="A113" s="53" t="s">
        <v>230</v>
      </c>
      <c r="B113" s="53" t="s">
        <v>12</v>
      </c>
      <c r="C113" s="53" t="s">
        <v>137</v>
      </c>
      <c r="D113" s="53" t="s">
        <v>24</v>
      </c>
    </row>
    <row r="114" spans="1:4" x14ac:dyDescent="0.35">
      <c r="A114" s="53" t="s">
        <v>230</v>
      </c>
      <c r="B114" s="53" t="s">
        <v>12</v>
      </c>
      <c r="C114" s="53" t="s">
        <v>140</v>
      </c>
      <c r="D114" s="53" t="s">
        <v>24</v>
      </c>
    </row>
    <row r="115" spans="1:4" x14ac:dyDescent="0.35">
      <c r="A115" s="53" t="s">
        <v>230</v>
      </c>
      <c r="B115" s="53" t="s">
        <v>12</v>
      </c>
      <c r="C115" s="53" t="s">
        <v>207</v>
      </c>
      <c r="D115" s="53" t="s">
        <v>24</v>
      </c>
    </row>
    <row r="116" spans="1:4" x14ac:dyDescent="0.35">
      <c r="A116" s="53" t="s">
        <v>230</v>
      </c>
      <c r="B116" s="53" t="s">
        <v>12</v>
      </c>
      <c r="C116" s="53" t="s">
        <v>125</v>
      </c>
      <c r="D116" s="53" t="s">
        <v>28</v>
      </c>
    </row>
    <row r="117" spans="1:4" x14ac:dyDescent="0.35">
      <c r="A117" s="53" t="s">
        <v>230</v>
      </c>
      <c r="B117" s="53" t="s">
        <v>12</v>
      </c>
      <c r="C117" s="53" t="s">
        <v>13</v>
      </c>
      <c r="D117" s="53" t="s">
        <v>28</v>
      </c>
    </row>
    <row r="118" spans="1:4" x14ac:dyDescent="0.35">
      <c r="A118" s="53" t="s">
        <v>230</v>
      </c>
      <c r="B118" s="53" t="s">
        <v>12</v>
      </c>
      <c r="C118" s="53" t="s">
        <v>130</v>
      </c>
      <c r="D118" s="53" t="s">
        <v>28</v>
      </c>
    </row>
    <row r="119" spans="1:4" x14ac:dyDescent="0.35">
      <c r="A119" s="53" t="s">
        <v>230</v>
      </c>
      <c r="B119" s="53" t="s">
        <v>12</v>
      </c>
      <c r="C119" s="53" t="s">
        <v>138</v>
      </c>
      <c r="D119" s="53" t="s">
        <v>28</v>
      </c>
    </row>
    <row r="120" spans="1:4" x14ac:dyDescent="0.35">
      <c r="A120" s="53" t="s">
        <v>230</v>
      </c>
      <c r="B120" s="53" t="s">
        <v>12</v>
      </c>
      <c r="C120" s="53" t="s">
        <v>208</v>
      </c>
      <c r="D120" s="53" t="s">
        <v>28</v>
      </c>
    </row>
    <row r="121" spans="1:4" x14ac:dyDescent="0.35">
      <c r="A121" s="53" t="s">
        <v>230</v>
      </c>
      <c r="B121" s="53" t="s">
        <v>14</v>
      </c>
      <c r="C121" s="53" t="s">
        <v>209</v>
      </c>
      <c r="D121" s="53" t="s">
        <v>24</v>
      </c>
    </row>
    <row r="122" spans="1:4" x14ac:dyDescent="0.35">
      <c r="A122" s="53" t="s">
        <v>230</v>
      </c>
      <c r="B122" s="53" t="s">
        <v>14</v>
      </c>
      <c r="C122" s="53" t="s">
        <v>145</v>
      </c>
      <c r="D122" s="53" t="s">
        <v>24</v>
      </c>
    </row>
    <row r="123" spans="1:4" x14ac:dyDescent="0.35">
      <c r="A123" s="53" t="s">
        <v>230</v>
      </c>
      <c r="B123" s="53" t="s">
        <v>14</v>
      </c>
      <c r="C123" s="53" t="s">
        <v>210</v>
      </c>
      <c r="D123" s="53" t="s">
        <v>28</v>
      </c>
    </row>
    <row r="124" spans="1:4" x14ac:dyDescent="0.35">
      <c r="A124" s="53" t="s">
        <v>230</v>
      </c>
      <c r="B124" s="53" t="s">
        <v>14</v>
      </c>
      <c r="C124" s="53" t="s">
        <v>144</v>
      </c>
      <c r="D124" s="53" t="s">
        <v>28</v>
      </c>
    </row>
    <row r="125" spans="1:4" x14ac:dyDescent="0.35">
      <c r="A125" s="53" t="s">
        <v>230</v>
      </c>
      <c r="B125" s="53" t="s">
        <v>14</v>
      </c>
      <c r="C125" s="53" t="s">
        <v>146</v>
      </c>
      <c r="D125" s="53" t="s">
        <v>28</v>
      </c>
    </row>
    <row r="126" spans="1:4" x14ac:dyDescent="0.35">
      <c r="A126" s="53" t="s">
        <v>230</v>
      </c>
      <c r="B126" s="53" t="s">
        <v>14</v>
      </c>
      <c r="C126" s="53" t="s">
        <v>147</v>
      </c>
      <c r="D126" s="53" t="s">
        <v>28</v>
      </c>
    </row>
    <row r="127" spans="1:4" x14ac:dyDescent="0.35">
      <c r="A127" s="53" t="s">
        <v>230</v>
      </c>
      <c r="B127" s="53" t="s">
        <v>14</v>
      </c>
      <c r="C127" s="53" t="s">
        <v>148</v>
      </c>
      <c r="D127" s="53" t="s">
        <v>28</v>
      </c>
    </row>
    <row r="128" spans="1:4" x14ac:dyDescent="0.35">
      <c r="A128" s="53" t="s">
        <v>15</v>
      </c>
      <c r="B128" s="53" t="s">
        <v>15</v>
      </c>
      <c r="C128" s="53" t="s">
        <v>22</v>
      </c>
      <c r="D128" s="53" t="s">
        <v>24</v>
      </c>
    </row>
    <row r="129" spans="1:4" x14ac:dyDescent="0.35">
      <c r="A129" s="53" t="s">
        <v>15</v>
      </c>
      <c r="B129" s="53" t="s">
        <v>15</v>
      </c>
      <c r="C129" s="53" t="s">
        <v>211</v>
      </c>
      <c r="D129" s="53" t="s">
        <v>24</v>
      </c>
    </row>
    <row r="130" spans="1:4" x14ac:dyDescent="0.35">
      <c r="A130" s="53" t="s">
        <v>15</v>
      </c>
      <c r="B130" s="53" t="s">
        <v>15</v>
      </c>
      <c r="C130" s="53" t="s">
        <v>150</v>
      </c>
      <c r="D130" s="53" t="s">
        <v>24</v>
      </c>
    </row>
    <row r="131" spans="1:4" x14ac:dyDescent="0.35">
      <c r="A131" s="53" t="s">
        <v>15</v>
      </c>
      <c r="B131" s="53" t="s">
        <v>15</v>
      </c>
      <c r="C131" s="53" t="s">
        <v>151</v>
      </c>
      <c r="D131" s="53" t="s">
        <v>24</v>
      </c>
    </row>
    <row r="132" spans="1:4" x14ac:dyDescent="0.35">
      <c r="A132" s="53" t="s">
        <v>15</v>
      </c>
      <c r="B132" s="53" t="s">
        <v>15</v>
      </c>
      <c r="C132" s="53" t="s">
        <v>152</v>
      </c>
      <c r="D132" s="53" t="s">
        <v>24</v>
      </c>
    </row>
    <row r="133" spans="1:4" x14ac:dyDescent="0.35">
      <c r="A133" s="53" t="s">
        <v>15</v>
      </c>
      <c r="B133" s="53" t="s">
        <v>15</v>
      </c>
      <c r="C133" s="53" t="s">
        <v>154</v>
      </c>
      <c r="D133" s="53" t="s">
        <v>24</v>
      </c>
    </row>
    <row r="134" spans="1:4" x14ac:dyDescent="0.35">
      <c r="A134" s="53" t="s">
        <v>15</v>
      </c>
      <c r="B134" s="53" t="s">
        <v>15</v>
      </c>
      <c r="C134" s="53" t="s">
        <v>155</v>
      </c>
      <c r="D134" s="53" t="s">
        <v>24</v>
      </c>
    </row>
    <row r="135" spans="1:4" x14ac:dyDescent="0.35">
      <c r="A135" s="53" t="s">
        <v>15</v>
      </c>
      <c r="B135" s="53" t="s">
        <v>15</v>
      </c>
      <c r="C135" s="53" t="s">
        <v>212</v>
      </c>
      <c r="D135" s="53" t="s">
        <v>24</v>
      </c>
    </row>
    <row r="136" spans="1:4" x14ac:dyDescent="0.35">
      <c r="A136" s="53" t="s">
        <v>15</v>
      </c>
      <c r="B136" s="53" t="s">
        <v>15</v>
      </c>
      <c r="C136" s="53" t="s">
        <v>157</v>
      </c>
      <c r="D136" s="53" t="s">
        <v>24</v>
      </c>
    </row>
    <row r="137" spans="1:4" x14ac:dyDescent="0.35">
      <c r="A137" s="53" t="s">
        <v>15</v>
      </c>
      <c r="B137" s="53" t="s">
        <v>15</v>
      </c>
      <c r="C137" s="53" t="s">
        <v>17</v>
      </c>
      <c r="D137" s="53" t="s">
        <v>24</v>
      </c>
    </row>
    <row r="138" spans="1:4" x14ac:dyDescent="0.35">
      <c r="A138" s="53" t="s">
        <v>15</v>
      </c>
      <c r="B138" s="53" t="s">
        <v>18</v>
      </c>
      <c r="C138" s="53" t="s">
        <v>160</v>
      </c>
      <c r="D138" s="53" t="s">
        <v>24</v>
      </c>
    </row>
    <row r="139" spans="1:4" x14ac:dyDescent="0.35">
      <c r="A139" s="53" t="s">
        <v>15</v>
      </c>
      <c r="B139" s="53" t="s">
        <v>18</v>
      </c>
      <c r="C139" s="53" t="s">
        <v>19</v>
      </c>
      <c r="D139" s="53" t="s">
        <v>24</v>
      </c>
    </row>
    <row r="140" spans="1:4" x14ac:dyDescent="0.35">
      <c r="A140" s="53" t="s">
        <v>15</v>
      </c>
      <c r="B140" s="53" t="s">
        <v>18</v>
      </c>
      <c r="C140" s="53" t="s">
        <v>158</v>
      </c>
      <c r="D140" s="53" t="s">
        <v>28</v>
      </c>
    </row>
    <row r="141" spans="1:4" x14ac:dyDescent="0.35">
      <c r="A141" s="53" t="s">
        <v>15</v>
      </c>
      <c r="B141" s="53" t="s">
        <v>18</v>
      </c>
      <c r="C141" s="53" t="s">
        <v>159</v>
      </c>
      <c r="D141" s="53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B1875-71F3-491F-B5DE-C476767FD7E1}">
  <sheetPr codeName="Sheet8"/>
  <dimension ref="A1"/>
  <sheetViews>
    <sheetView tabSelected="1" zoomScaleNormal="100" workbookViewId="0">
      <selection activeCell="F16" sqref="F16"/>
    </sheetView>
  </sheetViews>
  <sheetFormatPr baseColWidth="10" defaultColWidth="8.7265625" defaultRowHeight="14.5" customHeight="1" x14ac:dyDescent="0.3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0" r:id="rId4" name="Button 10">
              <controlPr defaultSize="0" print="0" autoFill="0" autoPict="0" macro="[0]!ModificarHojaPrevia">
                <anchor moveWithCells="1" sizeWithCells="1">
                  <from>
                    <xdr:col>8</xdr:col>
                    <xdr:colOff>146050</xdr:colOff>
                    <xdr:row>8</xdr:row>
                    <xdr:rowOff>38100</xdr:rowOff>
                  </from>
                  <to>
                    <xdr:col>15</xdr:col>
                    <xdr:colOff>114300</xdr:colOff>
                    <xdr:row>14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84FB7-5898-4DCB-9DD7-4D899547E116}">
  <sheetPr codeName="Hoja2"/>
  <dimension ref="A1:B143"/>
  <sheetViews>
    <sheetView workbookViewId="0">
      <selection activeCell="A2" sqref="A2"/>
    </sheetView>
  </sheetViews>
  <sheetFormatPr baseColWidth="10" defaultRowHeight="14.5" x14ac:dyDescent="0.35"/>
  <sheetData>
    <row r="1" spans="1:2" x14ac:dyDescent="0.35">
      <c r="A1" t="s">
        <v>215</v>
      </c>
      <c r="B1" t="s">
        <v>216</v>
      </c>
    </row>
    <row r="3" spans="1:2" x14ac:dyDescent="0.35">
      <c r="A3" s="29" t="s">
        <v>213</v>
      </c>
      <c r="B3" s="30" t="s">
        <v>214</v>
      </c>
    </row>
    <row r="4" spans="1:2" x14ac:dyDescent="0.35">
      <c r="A4" s="25" t="e">
        <f>_xlfn.XLOOKUP(#REF!,Cliente!$A$1:$A$103,Cliente!#REF!,"not found",0,1)</f>
        <v>#REF!</v>
      </c>
      <c r="B4" s="26" t="e">
        <f>_xlfn.XMATCH(#REF!,Cliente!$A$1:$A$103,0,1) -1</f>
        <v>#REF!</v>
      </c>
    </row>
    <row r="5" spans="1:2" x14ac:dyDescent="0.35">
      <c r="A5" s="27" t="e">
        <f>_xlfn.XLOOKUP(#REF!,Cliente!$A$1:$A$103,Cliente!#REF!,"not found",0,1)</f>
        <v>#REF!</v>
      </c>
      <c r="B5" s="28" t="e">
        <f>_xlfn.XMATCH(#REF!,Cliente!$A$1:$A$103,0,1) -1</f>
        <v>#REF!</v>
      </c>
    </row>
    <row r="6" spans="1:2" x14ac:dyDescent="0.35">
      <c r="A6" s="25" t="e">
        <f>_xlfn.XLOOKUP(#REF!,Cliente!$A$1:$A$103,Cliente!#REF!,"not found",0,1)</f>
        <v>#REF!</v>
      </c>
      <c r="B6" s="26" t="e">
        <f>_xlfn.XMATCH(#REF!,Cliente!$A$1:$A$103,0,1) -1</f>
        <v>#REF!</v>
      </c>
    </row>
    <row r="7" spans="1:2" x14ac:dyDescent="0.35">
      <c r="A7" s="27" t="e">
        <f>_xlfn.XLOOKUP(#REF!,Cliente!$A$1:$A$103,Cliente!#REF!,"not found",0,1)</f>
        <v>#REF!</v>
      </c>
      <c r="B7" s="28" t="e">
        <f>_xlfn.XMATCH(#REF!,Cliente!$A$1:$A$103,0,1) -1</f>
        <v>#REF!</v>
      </c>
    </row>
    <row r="8" spans="1:2" x14ac:dyDescent="0.35">
      <c r="A8" s="25" t="e">
        <f>_xlfn.XLOOKUP(#REF!,Cliente!$A$1:$A$103,Cliente!#REF!,"not found",0,1)</f>
        <v>#REF!</v>
      </c>
      <c r="B8" s="26" t="e">
        <f>_xlfn.XMATCH(#REF!,Cliente!$A$1:$A$103,0,1) -1</f>
        <v>#REF!</v>
      </c>
    </row>
    <row r="9" spans="1:2" x14ac:dyDescent="0.35">
      <c r="A9" s="27" t="e">
        <f>_xlfn.XLOOKUP(#REF!,Cliente!$A$1:$A$103,Cliente!#REF!,"not found",0,1)</f>
        <v>#REF!</v>
      </c>
      <c r="B9" s="28" t="e">
        <f>_xlfn.XMATCH(#REF!,Cliente!$A$1:$A$103,0,1) -1</f>
        <v>#REF!</v>
      </c>
    </row>
    <row r="10" spans="1:2" x14ac:dyDescent="0.35">
      <c r="A10" s="25" t="e">
        <f>_xlfn.XLOOKUP(#REF!,Cliente!$A$1:$A$103,Cliente!#REF!,"not found",0,1)</f>
        <v>#REF!</v>
      </c>
      <c r="B10" s="26" t="e">
        <f>_xlfn.XMATCH(#REF!,Cliente!$A$1:$A$103,0,1) -1</f>
        <v>#REF!</v>
      </c>
    </row>
    <row r="11" spans="1:2" x14ac:dyDescent="0.35">
      <c r="A11" s="27" t="e">
        <f>_xlfn.XLOOKUP(#REF!,Cliente!$A$1:$A$103,Cliente!#REF!,"not found",0,1)</f>
        <v>#REF!</v>
      </c>
      <c r="B11" s="28" t="e">
        <f>_xlfn.XMATCH(#REF!,Cliente!$A$1:$A$103,0,1) -1</f>
        <v>#REF!</v>
      </c>
    </row>
    <row r="12" spans="1:2" x14ac:dyDescent="0.35">
      <c r="A12" s="25" t="e">
        <f>_xlfn.XLOOKUP(#REF!,Cliente!$A$1:$A$103,Cliente!#REF!,"not found",0,1)</f>
        <v>#REF!</v>
      </c>
      <c r="B12" s="26" t="e">
        <f>_xlfn.XMATCH(#REF!,Cliente!$A$1:$A$103,0,1) -1</f>
        <v>#REF!</v>
      </c>
    </row>
    <row r="13" spans="1:2" x14ac:dyDescent="0.35">
      <c r="A13" s="27" t="e">
        <f>_xlfn.XLOOKUP(#REF!,Cliente!$A$1:$A$103,Cliente!#REF!,"not found",0,1)</f>
        <v>#REF!</v>
      </c>
      <c r="B13" s="28" t="e">
        <f>_xlfn.XMATCH(#REF!,Cliente!$A$1:$A$103,0,1) -1</f>
        <v>#REF!</v>
      </c>
    </row>
    <row r="14" spans="1:2" x14ac:dyDescent="0.35">
      <c r="A14" s="25" t="e">
        <f>_xlfn.XLOOKUP(#REF!,Cliente!$A$1:$A$103,Cliente!#REF!,"not found",0,1)</f>
        <v>#REF!</v>
      </c>
      <c r="B14" s="26" t="e">
        <f>_xlfn.XMATCH(#REF!,Cliente!$A$1:$A$103,0,1) -1</f>
        <v>#REF!</v>
      </c>
    </row>
    <row r="15" spans="1:2" x14ac:dyDescent="0.35">
      <c r="A15" s="27" t="e">
        <f>_xlfn.XLOOKUP(#REF!,Cliente!$A$1:$A$103,Cliente!#REF!,"not found",0,1)</f>
        <v>#REF!</v>
      </c>
      <c r="B15" s="28" t="e">
        <f>_xlfn.XMATCH(#REF!,Cliente!$A$1:$A$103,0,1) -1</f>
        <v>#REF!</v>
      </c>
    </row>
    <row r="16" spans="1:2" x14ac:dyDescent="0.35">
      <c r="A16" s="25" t="e">
        <f>_xlfn.XLOOKUP(#REF!,Cliente!$A$1:$A$103,Cliente!#REF!,"not found",0,1)</f>
        <v>#REF!</v>
      </c>
      <c r="B16" s="26" t="e">
        <f>_xlfn.XMATCH(#REF!,Cliente!$A$1:$A$103,0,1) -1</f>
        <v>#REF!</v>
      </c>
    </row>
    <row r="17" spans="1:2" x14ac:dyDescent="0.35">
      <c r="A17" s="27" t="e">
        <f>_xlfn.XLOOKUP(#REF!,Cliente!$A$1:$A$103,Cliente!#REF!,"not found",0,1)</f>
        <v>#REF!</v>
      </c>
      <c r="B17" s="28" t="e">
        <f>_xlfn.XMATCH(#REF!,Cliente!$A$1:$A$103,0,1) -1</f>
        <v>#REF!</v>
      </c>
    </row>
    <row r="18" spans="1:2" x14ac:dyDescent="0.35">
      <c r="A18" s="25" t="e">
        <f>_xlfn.XLOOKUP(#REF!,Cliente!$A$1:$A$103,Cliente!#REF!,"not found",0,1)</f>
        <v>#REF!</v>
      </c>
      <c r="B18" s="26" t="e">
        <f>_xlfn.XMATCH(#REF!,Cliente!$A$1:$A$103,0,1) -1</f>
        <v>#REF!</v>
      </c>
    </row>
    <row r="19" spans="1:2" x14ac:dyDescent="0.35">
      <c r="A19" s="27" t="e">
        <f>_xlfn.XLOOKUP(#REF!,Cliente!$A$1:$A$103,Cliente!#REF!,"not found",0,1)</f>
        <v>#REF!</v>
      </c>
      <c r="B19" s="28" t="e">
        <f>_xlfn.XMATCH(#REF!,Cliente!$A$1:$A$103,0,1) -1</f>
        <v>#REF!</v>
      </c>
    </row>
    <row r="20" spans="1:2" x14ac:dyDescent="0.35">
      <c r="A20" s="25" t="e">
        <f>_xlfn.XLOOKUP(#REF!,Cliente!$A$1:$A$103,Cliente!#REF!,"not found",0,1)</f>
        <v>#REF!</v>
      </c>
      <c r="B20" s="26" t="e">
        <f>_xlfn.XMATCH(#REF!,Cliente!$A$1:$A$103,0,1) -1</f>
        <v>#REF!</v>
      </c>
    </row>
    <row r="21" spans="1:2" x14ac:dyDescent="0.35">
      <c r="A21" s="27" t="e">
        <f>_xlfn.XLOOKUP(#REF!,Cliente!$A$1:$A$103,Cliente!#REF!,"not found",0,1)</f>
        <v>#REF!</v>
      </c>
      <c r="B21" s="28" t="e">
        <f>_xlfn.XMATCH(#REF!,Cliente!$A$1:$A$103,0,1) -1</f>
        <v>#REF!</v>
      </c>
    </row>
    <row r="22" spans="1:2" x14ac:dyDescent="0.35">
      <c r="A22" s="25" t="e">
        <f>_xlfn.XLOOKUP(#REF!,Cliente!$A$1:$A$103,Cliente!#REF!,"not found",0,1)</f>
        <v>#REF!</v>
      </c>
      <c r="B22" s="26" t="e">
        <f>_xlfn.XMATCH(#REF!,Cliente!$A$1:$A$103,0,1) -1</f>
        <v>#REF!</v>
      </c>
    </row>
    <row r="23" spans="1:2" x14ac:dyDescent="0.35">
      <c r="A23" s="27" t="e">
        <f>_xlfn.XLOOKUP(#REF!,Cliente!$A$1:$A$103,Cliente!#REF!,"not found",0,1)</f>
        <v>#REF!</v>
      </c>
      <c r="B23" s="28" t="e">
        <f>_xlfn.XMATCH(#REF!,Cliente!$A$1:$A$103,0,1) -1</f>
        <v>#REF!</v>
      </c>
    </row>
    <row r="24" spans="1:2" x14ac:dyDescent="0.35">
      <c r="A24" s="25" t="e">
        <f>_xlfn.XLOOKUP(#REF!,Cliente!$A$1:$A$103,Cliente!#REF!,"not found",0,1)</f>
        <v>#REF!</v>
      </c>
      <c r="B24" s="26" t="e">
        <f>_xlfn.XMATCH(#REF!,Cliente!$A$1:$A$103,0,1) -1</f>
        <v>#REF!</v>
      </c>
    </row>
    <row r="25" spans="1:2" x14ac:dyDescent="0.35">
      <c r="A25" s="27" t="e">
        <f>_xlfn.XLOOKUP(#REF!,Cliente!$A$1:$A$103,Cliente!#REF!,"not found",0,1)</f>
        <v>#REF!</v>
      </c>
      <c r="B25" s="28" t="e">
        <f>_xlfn.XMATCH(#REF!,Cliente!$A$1:$A$103,0,1) -1</f>
        <v>#REF!</v>
      </c>
    </row>
    <row r="26" spans="1:2" x14ac:dyDescent="0.35">
      <c r="A26" s="25" t="e">
        <f>_xlfn.XLOOKUP(#REF!,Cliente!$A$1:$A$103,Cliente!#REF!,"not found",0,1)</f>
        <v>#REF!</v>
      </c>
      <c r="B26" s="26" t="e">
        <f>_xlfn.XMATCH(#REF!,Cliente!$A$1:$A$103,0,1) -1</f>
        <v>#REF!</v>
      </c>
    </row>
    <row r="27" spans="1:2" x14ac:dyDescent="0.35">
      <c r="A27" s="27" t="e">
        <f>_xlfn.XLOOKUP(#REF!,Cliente!$A$1:$A$103,Cliente!#REF!,"not found",0,1)</f>
        <v>#REF!</v>
      </c>
      <c r="B27" s="28" t="e">
        <f>_xlfn.XMATCH(#REF!,Cliente!$A$1:$A$103,0,1) -1</f>
        <v>#REF!</v>
      </c>
    </row>
    <row r="28" spans="1:2" x14ac:dyDescent="0.35">
      <c r="A28" s="25" t="e">
        <f>_xlfn.XLOOKUP(#REF!,Cliente!$A$1:$A$103,Cliente!#REF!,"not found",0,1)</f>
        <v>#REF!</v>
      </c>
      <c r="B28" s="26" t="e">
        <f>_xlfn.XMATCH(#REF!,Cliente!$A$1:$A$103,0,1) -1</f>
        <v>#REF!</v>
      </c>
    </row>
    <row r="29" spans="1:2" x14ac:dyDescent="0.35">
      <c r="A29" s="27" t="e">
        <f>_xlfn.XLOOKUP(#REF!,Cliente!$A$1:$A$103,Cliente!#REF!,"not found",0,1)</f>
        <v>#REF!</v>
      </c>
      <c r="B29" s="28" t="e">
        <f>_xlfn.XMATCH(#REF!,Cliente!$A$1:$A$103,0,1) -1</f>
        <v>#REF!</v>
      </c>
    </row>
    <row r="30" spans="1:2" x14ac:dyDescent="0.35">
      <c r="A30" s="25" t="e">
        <f>_xlfn.XLOOKUP(#REF!,Cliente!$A$1:$A$103,Cliente!#REF!,"not found",0,1)</f>
        <v>#REF!</v>
      </c>
      <c r="B30" s="26" t="e">
        <f>_xlfn.XMATCH(#REF!,Cliente!$A$1:$A$103,0,1) -1</f>
        <v>#REF!</v>
      </c>
    </row>
    <row r="31" spans="1:2" x14ac:dyDescent="0.35">
      <c r="A31" s="27" t="e">
        <f>_xlfn.XLOOKUP(#REF!,Cliente!$A$1:$A$103,Cliente!#REF!,"not found",0,1)</f>
        <v>#REF!</v>
      </c>
      <c r="B31" s="28" t="e">
        <f>_xlfn.XMATCH(#REF!,Cliente!$A$1:$A$103,0,1) -1</f>
        <v>#REF!</v>
      </c>
    </row>
    <row r="32" spans="1:2" x14ac:dyDescent="0.35">
      <c r="A32" s="25" t="e">
        <f>_xlfn.XLOOKUP(#REF!,Cliente!$A$1:$A$103,Cliente!#REF!,"not found",0,1)</f>
        <v>#REF!</v>
      </c>
      <c r="B32" s="26" t="e">
        <f>_xlfn.XMATCH(#REF!,Cliente!$A$1:$A$103,0,1) -1</f>
        <v>#REF!</v>
      </c>
    </row>
    <row r="33" spans="1:2" x14ac:dyDescent="0.35">
      <c r="A33" s="27" t="e">
        <f>_xlfn.XLOOKUP(#REF!,Cliente!$A$1:$A$103,Cliente!#REF!,"not found",0,1)</f>
        <v>#REF!</v>
      </c>
      <c r="B33" s="28" t="e">
        <f>_xlfn.XMATCH(#REF!,Cliente!$A$1:$A$103,0,1) -1</f>
        <v>#REF!</v>
      </c>
    </row>
    <row r="34" spans="1:2" x14ac:dyDescent="0.35">
      <c r="A34" s="25" t="e">
        <f>_xlfn.XLOOKUP(#REF!,Cliente!$A$1:$A$103,Cliente!#REF!,"not found",0,1)</f>
        <v>#REF!</v>
      </c>
      <c r="B34" s="26" t="e">
        <f>_xlfn.XMATCH(#REF!,Cliente!$A$1:$A$103,0,1) -1</f>
        <v>#REF!</v>
      </c>
    </row>
    <row r="35" spans="1:2" x14ac:dyDescent="0.35">
      <c r="A35" s="27" t="e">
        <f>_xlfn.XLOOKUP(#REF!,Cliente!$A$1:$A$103,Cliente!#REF!,"not found",0,1)</f>
        <v>#REF!</v>
      </c>
      <c r="B35" s="28" t="e">
        <f>_xlfn.XMATCH(#REF!,Cliente!$A$1:$A$103,0,1) -1</f>
        <v>#REF!</v>
      </c>
    </row>
    <row r="36" spans="1:2" x14ac:dyDescent="0.35">
      <c r="A36" s="25" t="e">
        <f>_xlfn.XLOOKUP(#REF!,Cliente!$A$1:$A$103,Cliente!#REF!,"not found",0,1)</f>
        <v>#REF!</v>
      </c>
      <c r="B36" s="26" t="e">
        <f>_xlfn.XMATCH(#REF!,Cliente!$A$1:$A$103,0,1) -1</f>
        <v>#REF!</v>
      </c>
    </row>
    <row r="37" spans="1:2" x14ac:dyDescent="0.35">
      <c r="A37" s="27" t="e">
        <f>_xlfn.XLOOKUP(#REF!,Cliente!$A$1:$A$103,Cliente!#REF!,"not found",0,1)</f>
        <v>#REF!</v>
      </c>
      <c r="B37" s="28" t="e">
        <f>_xlfn.XMATCH(#REF!,Cliente!$A$1:$A$103,0,1) -1</f>
        <v>#REF!</v>
      </c>
    </row>
    <row r="38" spans="1:2" x14ac:dyDescent="0.35">
      <c r="A38" s="25" t="e">
        <f>_xlfn.XLOOKUP(#REF!,Cliente!$A$1:$A$103,Cliente!#REF!,"not found",0,1)</f>
        <v>#REF!</v>
      </c>
      <c r="B38" s="26" t="e">
        <f>_xlfn.XMATCH(#REF!,Cliente!$A$1:$A$103,0,1) -1</f>
        <v>#REF!</v>
      </c>
    </row>
    <row r="39" spans="1:2" x14ac:dyDescent="0.35">
      <c r="A39" s="27" t="e">
        <f>_xlfn.XLOOKUP(#REF!,Cliente!$A$1:$A$103,Cliente!#REF!,"not found",0,1)</f>
        <v>#REF!</v>
      </c>
      <c r="B39" s="28" t="e">
        <f>_xlfn.XMATCH(#REF!,Cliente!$A$1:$A$103,0,1) -1</f>
        <v>#REF!</v>
      </c>
    </row>
    <row r="40" spans="1:2" x14ac:dyDescent="0.35">
      <c r="A40" s="25" t="e">
        <f>_xlfn.XLOOKUP(#REF!,Cliente!$A$1:$A$103,Cliente!#REF!,"not found",0,1)</f>
        <v>#REF!</v>
      </c>
      <c r="B40" s="26" t="e">
        <f>_xlfn.XMATCH(#REF!,Cliente!$A$1:$A$103,0,1) -1</f>
        <v>#REF!</v>
      </c>
    </row>
    <row r="41" spans="1:2" x14ac:dyDescent="0.35">
      <c r="A41" s="27" t="e">
        <f>_xlfn.XLOOKUP(#REF!,Cliente!$A$1:$A$103,Cliente!#REF!,"not found",0,1)</f>
        <v>#REF!</v>
      </c>
      <c r="B41" s="28" t="e">
        <f>_xlfn.XMATCH(#REF!,Cliente!$A$1:$A$103,0,1) -1</f>
        <v>#REF!</v>
      </c>
    </row>
    <row r="42" spans="1:2" x14ac:dyDescent="0.35">
      <c r="A42" s="25" t="e">
        <f>_xlfn.XLOOKUP(#REF!,Cliente!$A$1:$A$103,Cliente!#REF!,"not found",0,1)</f>
        <v>#REF!</v>
      </c>
      <c r="B42" s="26" t="e">
        <f>_xlfn.XMATCH(#REF!,Cliente!$A$1:$A$103,0,1) -1</f>
        <v>#REF!</v>
      </c>
    </row>
    <row r="43" spans="1:2" x14ac:dyDescent="0.35">
      <c r="A43" s="27" t="e">
        <f>_xlfn.XLOOKUP(#REF!,Cliente!$A$1:$A$103,Cliente!#REF!,"not found",0,1)</f>
        <v>#REF!</v>
      </c>
      <c r="B43" s="28" t="e">
        <f>_xlfn.XMATCH(#REF!,Cliente!$A$1:$A$103,0,1) -1</f>
        <v>#REF!</v>
      </c>
    </row>
    <row r="44" spans="1:2" x14ac:dyDescent="0.35">
      <c r="A44" s="25" t="e">
        <f>_xlfn.XLOOKUP(#REF!,Cliente!$A$1:$A$103,Cliente!#REF!,"not found",0,1)</f>
        <v>#REF!</v>
      </c>
      <c r="B44" s="26" t="e">
        <f>_xlfn.XMATCH(#REF!,Cliente!$A$1:$A$103,0,1) -1</f>
        <v>#REF!</v>
      </c>
    </row>
    <row r="45" spans="1:2" x14ac:dyDescent="0.35">
      <c r="A45" s="27" t="e">
        <f>_xlfn.XLOOKUP(#REF!,Cliente!$A$1:$A$103,Cliente!#REF!,"not found",0,1)</f>
        <v>#REF!</v>
      </c>
      <c r="B45" s="28" t="e">
        <f>_xlfn.XMATCH(#REF!,Cliente!$A$1:$A$103,0,1) -1</f>
        <v>#REF!</v>
      </c>
    </row>
    <row r="46" spans="1:2" x14ac:dyDescent="0.35">
      <c r="A46" s="25" t="e">
        <f>_xlfn.XLOOKUP(#REF!,Cliente!$A$1:$A$103,Cliente!#REF!,"not found",0,1)</f>
        <v>#REF!</v>
      </c>
      <c r="B46" s="26" t="e">
        <f>_xlfn.XMATCH(#REF!,Cliente!$A$1:$A$103,0,1) -1</f>
        <v>#REF!</v>
      </c>
    </row>
    <row r="47" spans="1:2" x14ac:dyDescent="0.35">
      <c r="A47" s="27" t="e">
        <f>_xlfn.XLOOKUP(#REF!,Cliente!$A$1:$A$103,Cliente!#REF!,"not found",0,1)</f>
        <v>#REF!</v>
      </c>
      <c r="B47" s="28" t="e">
        <f>_xlfn.XMATCH(#REF!,Cliente!$A$1:$A$103,0,1) -1</f>
        <v>#REF!</v>
      </c>
    </row>
    <row r="48" spans="1:2" x14ac:dyDescent="0.35">
      <c r="A48" s="25" t="e">
        <f>_xlfn.XLOOKUP(#REF!,Cliente!$A$1:$A$103,Cliente!#REF!,"not found",0,1)</f>
        <v>#REF!</v>
      </c>
      <c r="B48" s="26" t="e">
        <f>_xlfn.XMATCH(#REF!,Cliente!$A$1:$A$103,0,1) -1</f>
        <v>#REF!</v>
      </c>
    </row>
    <row r="49" spans="1:2" x14ac:dyDescent="0.35">
      <c r="A49" s="27" t="e">
        <f>_xlfn.XLOOKUP(#REF!,Cliente!$A$1:$A$103,Cliente!#REF!,"not found",0,1)</f>
        <v>#REF!</v>
      </c>
      <c r="B49" s="28" t="e">
        <f>_xlfn.XMATCH(#REF!,Cliente!$A$1:$A$103,0,1) -1</f>
        <v>#REF!</v>
      </c>
    </row>
    <row r="50" spans="1:2" x14ac:dyDescent="0.35">
      <c r="A50" s="25" t="e">
        <f>_xlfn.XLOOKUP(#REF!,Cliente!$A$1:$A$103,Cliente!#REF!,"not found",0,1)</f>
        <v>#REF!</v>
      </c>
      <c r="B50" s="26" t="e">
        <f>_xlfn.XMATCH(#REF!,Cliente!$A$1:$A$103,0,1) -1</f>
        <v>#REF!</v>
      </c>
    </row>
    <row r="51" spans="1:2" x14ac:dyDescent="0.35">
      <c r="A51" s="27" t="e">
        <f>_xlfn.XLOOKUP(#REF!,Cliente!$A$1:$A$103,Cliente!#REF!,"not found",0,1)</f>
        <v>#REF!</v>
      </c>
      <c r="B51" s="28" t="e">
        <f>_xlfn.XMATCH(#REF!,Cliente!$A$1:$A$103,0,1) -1</f>
        <v>#REF!</v>
      </c>
    </row>
    <row r="52" spans="1:2" x14ac:dyDescent="0.35">
      <c r="A52" s="25" t="e">
        <f>_xlfn.XLOOKUP(#REF!,Cliente!$A$1:$A$103,Cliente!#REF!,"not found",0,1)</f>
        <v>#REF!</v>
      </c>
      <c r="B52" s="26" t="e">
        <f>_xlfn.XMATCH(#REF!,Cliente!$A$1:$A$103,0,1) -1</f>
        <v>#REF!</v>
      </c>
    </row>
    <row r="53" spans="1:2" x14ac:dyDescent="0.35">
      <c r="A53" s="27" t="e">
        <f>_xlfn.XLOOKUP(#REF!,Cliente!$A$1:$A$103,Cliente!#REF!,"not found",0,1)</f>
        <v>#REF!</v>
      </c>
      <c r="B53" s="28" t="e">
        <f>_xlfn.XMATCH(#REF!,Cliente!$A$1:$A$103,0,1) -1</f>
        <v>#REF!</v>
      </c>
    </row>
    <row r="54" spans="1:2" x14ac:dyDescent="0.35">
      <c r="A54" s="25" t="e">
        <f>_xlfn.XLOOKUP(#REF!,Cliente!$A$1:$A$103,Cliente!#REF!,"not found",0,1)</f>
        <v>#REF!</v>
      </c>
      <c r="B54" s="26" t="e">
        <f>_xlfn.XMATCH(#REF!,Cliente!$A$1:$A$103,0,1) -1</f>
        <v>#REF!</v>
      </c>
    </row>
    <row r="55" spans="1:2" x14ac:dyDescent="0.35">
      <c r="A55" s="27" t="e">
        <f>_xlfn.XLOOKUP(#REF!,Cliente!$A$1:$A$103,Cliente!#REF!,"not found",0,1)</f>
        <v>#REF!</v>
      </c>
      <c r="B55" s="28" t="e">
        <f>_xlfn.XMATCH(#REF!,Cliente!$A$1:$A$103,0,1) -1</f>
        <v>#REF!</v>
      </c>
    </row>
    <row r="56" spans="1:2" x14ac:dyDescent="0.35">
      <c r="A56" s="25" t="e">
        <f>_xlfn.XLOOKUP(#REF!,Cliente!$A$1:$A$103,Cliente!#REF!,"not found",0,1)</f>
        <v>#REF!</v>
      </c>
      <c r="B56" s="26" t="e">
        <f>_xlfn.XMATCH(#REF!,Cliente!$A$1:$A$103,0,1) -1</f>
        <v>#REF!</v>
      </c>
    </row>
    <row r="57" spans="1:2" x14ac:dyDescent="0.35">
      <c r="A57" s="27" t="e">
        <f>_xlfn.XLOOKUP(#REF!,Cliente!$A$1:$A$103,Cliente!#REF!,"not found",0,1)</f>
        <v>#REF!</v>
      </c>
      <c r="B57" s="28" t="e">
        <f>_xlfn.XMATCH(#REF!,Cliente!$A$1:$A$103,0,1) -1</f>
        <v>#REF!</v>
      </c>
    </row>
    <row r="58" spans="1:2" x14ac:dyDescent="0.35">
      <c r="A58" s="25" t="e">
        <f>_xlfn.XLOOKUP(#REF!,Cliente!$A$1:$A$103,Cliente!#REF!,"not found",0,1)</f>
        <v>#REF!</v>
      </c>
      <c r="B58" s="26" t="e">
        <f>_xlfn.XMATCH(#REF!,Cliente!$A$1:$A$103,0,1) -1</f>
        <v>#REF!</v>
      </c>
    </row>
    <row r="59" spans="1:2" x14ac:dyDescent="0.35">
      <c r="A59" s="27" t="e">
        <f>_xlfn.XLOOKUP(#REF!,Cliente!$A$1:$A$103,Cliente!#REF!,"not found",0,1)</f>
        <v>#REF!</v>
      </c>
      <c r="B59" s="28" t="e">
        <f>_xlfn.XMATCH(#REF!,Cliente!$A$1:$A$103,0,1) -1</f>
        <v>#REF!</v>
      </c>
    </row>
    <row r="60" spans="1:2" x14ac:dyDescent="0.35">
      <c r="A60" s="25" t="e">
        <f>_xlfn.XLOOKUP(#REF!,Cliente!$A$1:$A$103,Cliente!#REF!,"not found",0,1)</f>
        <v>#REF!</v>
      </c>
      <c r="B60" s="26" t="e">
        <f>_xlfn.XMATCH(#REF!,Cliente!$A$1:$A$103,0,1) -1</f>
        <v>#REF!</v>
      </c>
    </row>
    <row r="61" spans="1:2" x14ac:dyDescent="0.35">
      <c r="A61" s="27" t="e">
        <f>_xlfn.XLOOKUP(#REF!,Cliente!$A$1:$A$103,Cliente!#REF!,"not found",0,1)</f>
        <v>#REF!</v>
      </c>
      <c r="B61" s="28" t="e">
        <f>_xlfn.XMATCH(#REF!,Cliente!$A$1:$A$103,0,1) -1</f>
        <v>#REF!</v>
      </c>
    </row>
    <row r="62" spans="1:2" x14ac:dyDescent="0.35">
      <c r="A62" s="25" t="e">
        <f>_xlfn.XLOOKUP(#REF!,Cliente!$A$1:$A$103,Cliente!#REF!,"not found",0,1)</f>
        <v>#REF!</v>
      </c>
      <c r="B62" s="26" t="e">
        <f>_xlfn.XMATCH(#REF!,Cliente!$A$1:$A$103,0,1) -1</f>
        <v>#REF!</v>
      </c>
    </row>
    <row r="63" spans="1:2" x14ac:dyDescent="0.35">
      <c r="A63" s="27" t="e">
        <f>_xlfn.XLOOKUP(#REF!,Cliente!$A$1:$A$103,Cliente!#REF!,"not found",0,1)</f>
        <v>#REF!</v>
      </c>
      <c r="B63" s="28" t="e">
        <f>_xlfn.XMATCH(#REF!,Cliente!$A$1:$A$103,0,1) -1</f>
        <v>#REF!</v>
      </c>
    </row>
    <row r="64" spans="1:2" x14ac:dyDescent="0.35">
      <c r="A64" s="25" t="e">
        <f>_xlfn.XLOOKUP(#REF!,Cliente!$A$1:$A$103,Cliente!#REF!,"not found",0,1)</f>
        <v>#REF!</v>
      </c>
      <c r="B64" s="26" t="e">
        <f>_xlfn.XMATCH(#REF!,Cliente!$A$1:$A$103,0,1) -1</f>
        <v>#REF!</v>
      </c>
    </row>
    <row r="65" spans="1:2" x14ac:dyDescent="0.35">
      <c r="A65" s="27" t="e">
        <f>_xlfn.XLOOKUP(#REF!,Cliente!$A$1:$A$103,Cliente!#REF!,"not found",0,1)</f>
        <v>#REF!</v>
      </c>
      <c r="B65" s="28" t="e">
        <f>_xlfn.XMATCH(#REF!,Cliente!$A$1:$A$103,0,1) -1</f>
        <v>#REF!</v>
      </c>
    </row>
    <row r="66" spans="1:2" x14ac:dyDescent="0.35">
      <c r="A66" s="25" t="e">
        <f>_xlfn.XLOOKUP(#REF!,Cliente!$A$1:$A$103,Cliente!#REF!,"not found",0,1)</f>
        <v>#REF!</v>
      </c>
      <c r="B66" s="26" t="e">
        <f>_xlfn.XMATCH(#REF!,Cliente!$A$1:$A$103,0,1) -1</f>
        <v>#REF!</v>
      </c>
    </row>
    <row r="67" spans="1:2" x14ac:dyDescent="0.35">
      <c r="A67" s="27" t="e">
        <f>_xlfn.XLOOKUP(#REF!,Cliente!$A$1:$A$103,Cliente!#REF!,"not found",0,1)</f>
        <v>#REF!</v>
      </c>
      <c r="B67" s="28" t="e">
        <f>_xlfn.XMATCH(#REF!,Cliente!$A$1:$A$103,0,1) -1</f>
        <v>#REF!</v>
      </c>
    </row>
    <row r="68" spans="1:2" x14ac:dyDescent="0.35">
      <c r="A68" s="25" t="e">
        <f>_xlfn.XLOOKUP(#REF!,Cliente!$A$1:$A$103,Cliente!#REF!,"not found",0,1)</f>
        <v>#REF!</v>
      </c>
      <c r="B68" s="26" t="e">
        <f>_xlfn.XMATCH(#REF!,Cliente!$A$1:$A$103,0,1) -1</f>
        <v>#REF!</v>
      </c>
    </row>
    <row r="69" spans="1:2" x14ac:dyDescent="0.35">
      <c r="A69" s="27" t="e">
        <f>_xlfn.XLOOKUP(#REF!,Cliente!$A$1:$A$103,Cliente!#REF!,"not found",0,1)</f>
        <v>#REF!</v>
      </c>
      <c r="B69" s="28" t="e">
        <f>_xlfn.XMATCH(#REF!,Cliente!$A$1:$A$103,0,1) -1</f>
        <v>#REF!</v>
      </c>
    </row>
    <row r="70" spans="1:2" x14ac:dyDescent="0.35">
      <c r="A70" s="25" t="e">
        <f>_xlfn.XLOOKUP(#REF!,Cliente!$A$1:$A$103,Cliente!#REF!,"not found",0,1)</f>
        <v>#REF!</v>
      </c>
      <c r="B70" s="26" t="e">
        <f>_xlfn.XMATCH(#REF!,Cliente!$A$1:$A$103,0,1) -1</f>
        <v>#REF!</v>
      </c>
    </row>
    <row r="71" spans="1:2" x14ac:dyDescent="0.35">
      <c r="A71" s="27" t="e">
        <f>_xlfn.XLOOKUP(#REF!,Cliente!$A$1:$A$103,Cliente!#REF!,"not found",0,1)</f>
        <v>#REF!</v>
      </c>
      <c r="B71" s="28" t="e">
        <f>_xlfn.XMATCH(#REF!,Cliente!$A$1:$A$103,0,1) -1</f>
        <v>#REF!</v>
      </c>
    </row>
    <row r="72" spans="1:2" x14ac:dyDescent="0.35">
      <c r="A72" s="25" t="e">
        <f>_xlfn.XLOOKUP(#REF!,Cliente!$A$1:$A$103,Cliente!#REF!,"not found",0,1)</f>
        <v>#REF!</v>
      </c>
      <c r="B72" s="26" t="e">
        <f>_xlfn.XMATCH(#REF!,Cliente!$A$1:$A$103,0,1) -1</f>
        <v>#REF!</v>
      </c>
    </row>
    <row r="73" spans="1:2" x14ac:dyDescent="0.35">
      <c r="A73" s="27" t="e">
        <f>_xlfn.XLOOKUP(#REF!,Cliente!$A$1:$A$103,Cliente!#REF!,"not found",0,1)</f>
        <v>#REF!</v>
      </c>
      <c r="B73" s="28" t="e">
        <f>_xlfn.XMATCH(#REF!,Cliente!$A$1:$A$103,0,1) -1</f>
        <v>#REF!</v>
      </c>
    </row>
    <row r="74" spans="1:2" x14ac:dyDescent="0.35">
      <c r="A74" s="25" t="e">
        <f>_xlfn.XLOOKUP(#REF!,Cliente!$A$1:$A$103,Cliente!#REF!,"not found",0,1)</f>
        <v>#REF!</v>
      </c>
      <c r="B74" s="26" t="e">
        <f>_xlfn.XMATCH(#REF!,Cliente!$A$1:$A$103,0,1) -1</f>
        <v>#REF!</v>
      </c>
    </row>
    <row r="75" spans="1:2" x14ac:dyDescent="0.35">
      <c r="A75" s="27" t="e">
        <f>_xlfn.XLOOKUP(#REF!,Cliente!$A$1:$A$103,Cliente!#REF!,"not found",0,1)</f>
        <v>#REF!</v>
      </c>
      <c r="B75" s="28" t="e">
        <f>_xlfn.XMATCH(#REF!,Cliente!$A$1:$A$103,0,1) -1</f>
        <v>#REF!</v>
      </c>
    </row>
    <row r="76" spans="1:2" x14ac:dyDescent="0.35">
      <c r="A76" s="25" t="e">
        <f>_xlfn.XLOOKUP(#REF!,Cliente!$A$1:$A$103,Cliente!#REF!,"not found",0,1)</f>
        <v>#REF!</v>
      </c>
      <c r="B76" s="26" t="e">
        <f>_xlfn.XMATCH(#REF!,Cliente!$A$1:$A$103,0,1) -1</f>
        <v>#REF!</v>
      </c>
    </row>
    <row r="77" spans="1:2" x14ac:dyDescent="0.35">
      <c r="A77" s="27" t="e">
        <f>_xlfn.XLOOKUP(#REF!,Cliente!$A$1:$A$103,Cliente!#REF!,"not found",0,1)</f>
        <v>#REF!</v>
      </c>
      <c r="B77" s="28" t="e">
        <f>_xlfn.XMATCH(#REF!,Cliente!$A$1:$A$103,0,1) -1</f>
        <v>#REF!</v>
      </c>
    </row>
    <row r="78" spans="1:2" x14ac:dyDescent="0.35">
      <c r="A78" s="25" t="e">
        <f>_xlfn.XLOOKUP(#REF!,Cliente!$A$1:$A$103,Cliente!#REF!,"not found",0,1)</f>
        <v>#REF!</v>
      </c>
      <c r="B78" s="26" t="e">
        <f>_xlfn.XMATCH(#REF!,Cliente!$A$1:$A$103,0,1) -1</f>
        <v>#REF!</v>
      </c>
    </row>
    <row r="79" spans="1:2" x14ac:dyDescent="0.35">
      <c r="A79" s="27" t="e">
        <f>_xlfn.XLOOKUP(#REF!,Cliente!$A$1:$A$103,Cliente!#REF!,"not found",0,1)</f>
        <v>#REF!</v>
      </c>
      <c r="B79" s="28" t="e">
        <f>_xlfn.XMATCH(#REF!,Cliente!$A$1:$A$103,0,1) -1</f>
        <v>#REF!</v>
      </c>
    </row>
    <row r="80" spans="1:2" x14ac:dyDescent="0.35">
      <c r="A80" s="25" t="e">
        <f>_xlfn.XLOOKUP(#REF!,Cliente!$A$1:$A$103,Cliente!#REF!,"not found",0,1)</f>
        <v>#REF!</v>
      </c>
      <c r="B80" s="26" t="e">
        <f>_xlfn.XMATCH(#REF!,Cliente!$A$1:$A$103,0,1) -1</f>
        <v>#REF!</v>
      </c>
    </row>
    <row r="81" spans="1:2" x14ac:dyDescent="0.35">
      <c r="A81" s="27" t="e">
        <f>_xlfn.XLOOKUP(#REF!,Cliente!$A$1:$A$103,Cliente!#REF!,"not found",0,1)</f>
        <v>#REF!</v>
      </c>
      <c r="B81" s="28" t="e">
        <f>_xlfn.XMATCH(#REF!,Cliente!$A$1:$A$103,0,1) -1</f>
        <v>#REF!</v>
      </c>
    </row>
    <row r="82" spans="1:2" x14ac:dyDescent="0.35">
      <c r="A82" s="25" t="e">
        <f>_xlfn.XLOOKUP(#REF!,Cliente!$A$1:$A$103,Cliente!#REF!,"not found",0,1)</f>
        <v>#REF!</v>
      </c>
      <c r="B82" s="26" t="e">
        <f>_xlfn.XMATCH(#REF!,Cliente!$A$1:$A$103,0,1) -1</f>
        <v>#REF!</v>
      </c>
    </row>
    <row r="83" spans="1:2" x14ac:dyDescent="0.35">
      <c r="A83" s="27" t="e">
        <f>_xlfn.XLOOKUP(#REF!,Cliente!$A$1:$A$103,Cliente!#REF!,"not found",0,1)</f>
        <v>#REF!</v>
      </c>
      <c r="B83" s="28" t="e">
        <f>_xlfn.XMATCH(#REF!,Cliente!$A$1:$A$103,0,1) -1</f>
        <v>#REF!</v>
      </c>
    </row>
    <row r="84" spans="1:2" x14ac:dyDescent="0.35">
      <c r="A84" s="25" t="e">
        <f>_xlfn.XLOOKUP(#REF!,Cliente!$A$1:$A$103,Cliente!#REF!,"not found",0,1)</f>
        <v>#REF!</v>
      </c>
      <c r="B84" s="26" t="e">
        <f>_xlfn.XMATCH(#REF!,Cliente!$A$1:$A$103,0,1) -1</f>
        <v>#REF!</v>
      </c>
    </row>
    <row r="85" spans="1:2" x14ac:dyDescent="0.35">
      <c r="A85" s="27" t="e">
        <f>_xlfn.XLOOKUP(#REF!,Cliente!$A$1:$A$103,Cliente!#REF!,"not found",0,1)</f>
        <v>#REF!</v>
      </c>
      <c r="B85" s="28" t="e">
        <f>_xlfn.XMATCH(#REF!,Cliente!$A$1:$A$103,0,1) -1</f>
        <v>#REF!</v>
      </c>
    </row>
    <row r="86" spans="1:2" x14ac:dyDescent="0.35">
      <c r="A86" s="25" t="e">
        <f>_xlfn.XLOOKUP(#REF!,Cliente!$A$1:$A$103,Cliente!#REF!,"not found",0,1)</f>
        <v>#REF!</v>
      </c>
      <c r="B86" s="26" t="e">
        <f>_xlfn.XMATCH(#REF!,Cliente!$A$1:$A$103,0,1) -1</f>
        <v>#REF!</v>
      </c>
    </row>
    <row r="87" spans="1:2" x14ac:dyDescent="0.35">
      <c r="A87" s="27" t="e">
        <f>_xlfn.XLOOKUP(#REF!,Cliente!$A$1:$A$103,Cliente!#REF!,"not found",0,1)</f>
        <v>#REF!</v>
      </c>
      <c r="B87" s="28" t="e">
        <f>_xlfn.XMATCH(#REF!,Cliente!$A$1:$A$103,0,1) -1</f>
        <v>#REF!</v>
      </c>
    </row>
    <row r="88" spans="1:2" x14ac:dyDescent="0.35">
      <c r="A88" s="25" t="e">
        <f>_xlfn.XLOOKUP(#REF!,Cliente!$A$1:$A$103,Cliente!#REF!,"not found",0,1)</f>
        <v>#REF!</v>
      </c>
      <c r="B88" s="26" t="e">
        <f>_xlfn.XMATCH(#REF!,Cliente!$A$1:$A$103,0,1) -1</f>
        <v>#REF!</v>
      </c>
    </row>
    <row r="89" spans="1:2" x14ac:dyDescent="0.35">
      <c r="A89" s="27" t="e">
        <f>_xlfn.XLOOKUP(#REF!,Cliente!$A$1:$A$103,Cliente!#REF!,"not found",0,1)</f>
        <v>#REF!</v>
      </c>
      <c r="B89" s="28" t="e">
        <f>_xlfn.XMATCH(#REF!,Cliente!$A$1:$A$103,0,1) -1</f>
        <v>#REF!</v>
      </c>
    </row>
    <row r="90" spans="1:2" x14ac:dyDescent="0.35">
      <c r="A90" s="25" t="e">
        <f>_xlfn.XLOOKUP(#REF!,Cliente!$A$1:$A$103,Cliente!#REF!,"not found",0,1)</f>
        <v>#REF!</v>
      </c>
      <c r="B90" s="26" t="e">
        <f>_xlfn.XMATCH(#REF!,Cliente!$A$1:$A$103,0,1) -1</f>
        <v>#REF!</v>
      </c>
    </row>
    <row r="91" spans="1:2" x14ac:dyDescent="0.35">
      <c r="A91" s="27" t="e">
        <f>_xlfn.XLOOKUP(#REF!,Cliente!$A$1:$A$103,Cliente!#REF!,"not found",0,1)</f>
        <v>#REF!</v>
      </c>
      <c r="B91" s="28" t="e">
        <f>_xlfn.XMATCH(#REF!,Cliente!$A$1:$A$103,0,1) -1</f>
        <v>#REF!</v>
      </c>
    </row>
    <row r="92" spans="1:2" x14ac:dyDescent="0.35">
      <c r="A92" s="25" t="e">
        <f>_xlfn.XLOOKUP(#REF!,Cliente!$A$1:$A$103,Cliente!#REF!,"not found",0,1)</f>
        <v>#REF!</v>
      </c>
      <c r="B92" s="26" t="e">
        <f>_xlfn.XMATCH(#REF!,Cliente!$A$1:$A$103,0,1) -1</f>
        <v>#REF!</v>
      </c>
    </row>
    <row r="93" spans="1:2" x14ac:dyDescent="0.35">
      <c r="A93" s="27" t="e">
        <f>_xlfn.XLOOKUP(#REF!,Cliente!$A$1:$A$103,Cliente!#REF!,"not found",0,1)</f>
        <v>#REF!</v>
      </c>
      <c r="B93" s="28" t="e">
        <f>_xlfn.XMATCH(#REF!,Cliente!$A$1:$A$103,0,1) -1</f>
        <v>#REF!</v>
      </c>
    </row>
    <row r="94" spans="1:2" x14ac:dyDescent="0.35">
      <c r="A94" s="25" t="e">
        <f>_xlfn.XLOOKUP(#REF!,Cliente!$A$1:$A$103,Cliente!#REF!,"not found",0,1)</f>
        <v>#REF!</v>
      </c>
      <c r="B94" s="26" t="e">
        <f>_xlfn.XMATCH(#REF!,Cliente!$A$1:$A$103,0,1) -1</f>
        <v>#REF!</v>
      </c>
    </row>
    <row r="95" spans="1:2" x14ac:dyDescent="0.35">
      <c r="A95" s="27" t="e">
        <f>_xlfn.XLOOKUP(#REF!,Cliente!$A$1:$A$103,Cliente!#REF!,"not found",0,1)</f>
        <v>#REF!</v>
      </c>
      <c r="B95" s="28" t="e">
        <f>_xlfn.XMATCH(#REF!,Cliente!$A$1:$A$103,0,1) -1</f>
        <v>#REF!</v>
      </c>
    </row>
    <row r="96" spans="1:2" x14ac:dyDescent="0.35">
      <c r="A96" s="25" t="e">
        <f>_xlfn.XLOOKUP(#REF!,Cliente!$A$1:$A$103,Cliente!#REF!,"not found",0,1)</f>
        <v>#REF!</v>
      </c>
      <c r="B96" s="26" t="e">
        <f>_xlfn.XMATCH(#REF!,Cliente!$A$1:$A$103,0,1) -1</f>
        <v>#REF!</v>
      </c>
    </row>
    <row r="97" spans="1:2" x14ac:dyDescent="0.35">
      <c r="A97" s="27" t="e">
        <f>_xlfn.XLOOKUP(#REF!,Cliente!$A$1:$A$103,Cliente!#REF!,"not found",0,1)</f>
        <v>#REF!</v>
      </c>
      <c r="B97" s="28" t="e">
        <f>_xlfn.XMATCH(#REF!,Cliente!$A$1:$A$103,0,1) -1</f>
        <v>#REF!</v>
      </c>
    </row>
    <row r="98" spans="1:2" x14ac:dyDescent="0.35">
      <c r="A98" s="25" t="e">
        <f>_xlfn.XLOOKUP(#REF!,Cliente!$A$1:$A$103,Cliente!#REF!,"not found",0,1)</f>
        <v>#REF!</v>
      </c>
      <c r="B98" s="26" t="e">
        <f>_xlfn.XMATCH(#REF!,Cliente!$A$1:$A$103,0,1) -1</f>
        <v>#REF!</v>
      </c>
    </row>
    <row r="99" spans="1:2" x14ac:dyDescent="0.35">
      <c r="A99" s="27" t="e">
        <f>_xlfn.XLOOKUP(#REF!,Cliente!$A$1:$A$103,Cliente!#REF!,"not found",0,1)</f>
        <v>#REF!</v>
      </c>
      <c r="B99" s="28" t="e">
        <f>_xlfn.XMATCH(#REF!,Cliente!$A$1:$A$103,0,1) -1</f>
        <v>#REF!</v>
      </c>
    </row>
    <row r="100" spans="1:2" x14ac:dyDescent="0.35">
      <c r="A100" s="25" t="e">
        <f>_xlfn.XLOOKUP(#REF!,Cliente!$A$1:$A$103,Cliente!#REF!,"not found",0,1)</f>
        <v>#REF!</v>
      </c>
      <c r="B100" s="26" t="e">
        <f>_xlfn.XMATCH(#REF!,Cliente!$A$1:$A$103,0,1) -1</f>
        <v>#REF!</v>
      </c>
    </row>
    <row r="101" spans="1:2" x14ac:dyDescent="0.35">
      <c r="A101" s="27" t="e">
        <f>_xlfn.XLOOKUP(#REF!,Cliente!$A$1:$A$103,Cliente!#REF!,"not found",0,1)</f>
        <v>#REF!</v>
      </c>
      <c r="B101" s="28" t="e">
        <f>_xlfn.XMATCH(#REF!,Cliente!$A$1:$A$103,0,1) -1</f>
        <v>#REF!</v>
      </c>
    </row>
    <row r="102" spans="1:2" x14ac:dyDescent="0.35">
      <c r="A102" s="25" t="e">
        <f>_xlfn.XLOOKUP(#REF!,Cliente!$A$1:$A$103,Cliente!#REF!,"not found",0,1)</f>
        <v>#REF!</v>
      </c>
      <c r="B102" s="26" t="e">
        <f>_xlfn.XMATCH(#REF!,Cliente!$A$1:$A$103,0,1) -1</f>
        <v>#REF!</v>
      </c>
    </row>
    <row r="103" spans="1:2" x14ac:dyDescent="0.35">
      <c r="A103" s="27" t="e">
        <f>_xlfn.XLOOKUP(#REF!,Cliente!$A$1:$A$103,Cliente!#REF!,"not found",0,1)</f>
        <v>#REF!</v>
      </c>
      <c r="B103" s="28" t="e">
        <f>_xlfn.XMATCH(#REF!,Cliente!$A$1:$A$103,0,1) -1</f>
        <v>#REF!</v>
      </c>
    </row>
    <row r="104" spans="1:2" x14ac:dyDescent="0.35">
      <c r="A104" s="25" t="e">
        <f>_xlfn.XLOOKUP(#REF!,Cliente!$A$1:$A$103,Cliente!#REF!,"not found",0,1)</f>
        <v>#REF!</v>
      </c>
      <c r="B104" s="26" t="e">
        <f>_xlfn.XMATCH(#REF!,Cliente!$A$1:$A$103,0,1) -1</f>
        <v>#REF!</v>
      </c>
    </row>
    <row r="105" spans="1:2" x14ac:dyDescent="0.35">
      <c r="A105" s="27" t="e">
        <f>_xlfn.XLOOKUP(#REF!,Cliente!$A$1:$A$103,Cliente!#REF!,"not found",0,1)</f>
        <v>#REF!</v>
      </c>
      <c r="B105" s="28" t="e">
        <f>_xlfn.XMATCH(#REF!,Cliente!$A$1:$A$103,0,1) -1</f>
        <v>#REF!</v>
      </c>
    </row>
    <row r="106" spans="1:2" x14ac:dyDescent="0.35">
      <c r="A106" s="25" t="e">
        <f>_xlfn.XLOOKUP(#REF!,Cliente!$A$1:$A$103,Cliente!#REF!,"not found",0,1)</f>
        <v>#REF!</v>
      </c>
      <c r="B106" s="26" t="e">
        <f>_xlfn.XMATCH(#REF!,Cliente!$A$1:$A$103,0,1) -1</f>
        <v>#REF!</v>
      </c>
    </row>
    <row r="107" spans="1:2" x14ac:dyDescent="0.35">
      <c r="A107" s="27" t="e">
        <f>_xlfn.XLOOKUP(#REF!,Cliente!$A$1:$A$103,Cliente!#REF!,"not found",0,1)</f>
        <v>#REF!</v>
      </c>
      <c r="B107" s="28" t="e">
        <f>_xlfn.XMATCH(#REF!,Cliente!$A$1:$A$103,0,1) -1</f>
        <v>#REF!</v>
      </c>
    </row>
    <row r="108" spans="1:2" x14ac:dyDescent="0.35">
      <c r="A108" s="25" t="e">
        <f>_xlfn.XLOOKUP(#REF!,Cliente!$A$1:$A$103,Cliente!#REF!,"not found",0,1)</f>
        <v>#REF!</v>
      </c>
      <c r="B108" s="26" t="e">
        <f>_xlfn.XMATCH(#REF!,Cliente!$A$1:$A$103,0,1) -1</f>
        <v>#REF!</v>
      </c>
    </row>
    <row r="109" spans="1:2" x14ac:dyDescent="0.35">
      <c r="A109" s="27" t="e">
        <f>_xlfn.XLOOKUP(#REF!,Cliente!$A$1:$A$103,Cliente!#REF!,"not found",0,1)</f>
        <v>#REF!</v>
      </c>
      <c r="B109" s="28" t="e">
        <f>_xlfn.XMATCH(#REF!,Cliente!$A$1:$A$103,0,1) -1</f>
        <v>#REF!</v>
      </c>
    </row>
    <row r="110" spans="1:2" x14ac:dyDescent="0.35">
      <c r="A110" s="25" t="e">
        <f>_xlfn.XLOOKUP(#REF!,Cliente!$A$1:$A$103,Cliente!#REF!,"not found",0,1)</f>
        <v>#REF!</v>
      </c>
      <c r="B110" s="26" t="e">
        <f>_xlfn.XMATCH(#REF!,Cliente!$A$1:$A$103,0,1) -1</f>
        <v>#REF!</v>
      </c>
    </row>
    <row r="111" spans="1:2" x14ac:dyDescent="0.35">
      <c r="A111" s="27" t="e">
        <f>_xlfn.XLOOKUP(#REF!,Cliente!$A$1:$A$103,Cliente!#REF!,"not found",0,1)</f>
        <v>#REF!</v>
      </c>
      <c r="B111" s="28" t="e">
        <f>_xlfn.XMATCH(#REF!,Cliente!$A$1:$A$103,0,1) -1</f>
        <v>#REF!</v>
      </c>
    </row>
    <row r="112" spans="1:2" x14ac:dyDescent="0.35">
      <c r="A112" s="25" t="e">
        <f>_xlfn.XLOOKUP(#REF!,Cliente!$A$1:$A$103,Cliente!#REF!,"not found",0,1)</f>
        <v>#REF!</v>
      </c>
      <c r="B112" s="26" t="e">
        <f>_xlfn.XMATCH(#REF!,Cliente!$A$1:$A$103,0,1) -1</f>
        <v>#REF!</v>
      </c>
    </row>
    <row r="113" spans="1:2" x14ac:dyDescent="0.35">
      <c r="A113" s="27" t="e">
        <f>_xlfn.XLOOKUP(#REF!,Cliente!$A$1:$A$103,Cliente!#REF!,"not found",0,1)</f>
        <v>#REF!</v>
      </c>
      <c r="B113" s="28" t="e">
        <f>_xlfn.XMATCH(#REF!,Cliente!$A$1:$A$103,0,1) -1</f>
        <v>#REF!</v>
      </c>
    </row>
    <row r="114" spans="1:2" x14ac:dyDescent="0.35">
      <c r="A114" s="25" t="e">
        <f>_xlfn.XLOOKUP(#REF!,Cliente!$A$1:$A$103,Cliente!#REF!,"not found",0,1)</f>
        <v>#REF!</v>
      </c>
      <c r="B114" s="26" t="e">
        <f>_xlfn.XMATCH(#REF!,Cliente!$A$1:$A$103,0,1) -1</f>
        <v>#REF!</v>
      </c>
    </row>
    <row r="115" spans="1:2" x14ac:dyDescent="0.35">
      <c r="A115" s="27" t="e">
        <f>_xlfn.XLOOKUP(#REF!,Cliente!$A$1:$A$103,Cliente!#REF!,"not found",0,1)</f>
        <v>#REF!</v>
      </c>
      <c r="B115" s="28" t="e">
        <f>_xlfn.XMATCH(#REF!,Cliente!$A$1:$A$103,0,1) -1</f>
        <v>#REF!</v>
      </c>
    </row>
    <row r="116" spans="1:2" x14ac:dyDescent="0.35">
      <c r="A116" s="25" t="e">
        <f>_xlfn.XLOOKUP(#REF!,Cliente!$A$1:$A$103,Cliente!#REF!,"not found",0,1)</f>
        <v>#REF!</v>
      </c>
      <c r="B116" s="26" t="e">
        <f>_xlfn.XMATCH(#REF!,Cliente!$A$1:$A$103,0,1) -1</f>
        <v>#REF!</v>
      </c>
    </row>
    <row r="117" spans="1:2" x14ac:dyDescent="0.35">
      <c r="A117" s="27" t="e">
        <f>_xlfn.XLOOKUP(#REF!,Cliente!$A$1:$A$103,Cliente!#REF!,"not found",0,1)</f>
        <v>#REF!</v>
      </c>
      <c r="B117" s="28" t="e">
        <f>_xlfn.XMATCH(#REF!,Cliente!$A$1:$A$103,0,1) -1</f>
        <v>#REF!</v>
      </c>
    </row>
    <row r="118" spans="1:2" x14ac:dyDescent="0.35">
      <c r="A118" s="25" t="e">
        <f>_xlfn.XLOOKUP(#REF!,Cliente!$A$1:$A$103,Cliente!#REF!,"not found",0,1)</f>
        <v>#REF!</v>
      </c>
      <c r="B118" s="26" t="e">
        <f>_xlfn.XMATCH(#REF!,Cliente!$A$1:$A$103,0,1) -1</f>
        <v>#REF!</v>
      </c>
    </row>
    <row r="119" spans="1:2" x14ac:dyDescent="0.35">
      <c r="A119" s="27" t="e">
        <f>_xlfn.XLOOKUP(#REF!,Cliente!$A$1:$A$103,Cliente!#REF!,"not found",0,1)</f>
        <v>#REF!</v>
      </c>
      <c r="B119" s="28" t="e">
        <f>_xlfn.XMATCH(#REF!,Cliente!$A$1:$A$103,0,1) -1</f>
        <v>#REF!</v>
      </c>
    </row>
    <row r="120" spans="1:2" x14ac:dyDescent="0.35">
      <c r="A120" s="25" t="e">
        <f>_xlfn.XLOOKUP(#REF!,Cliente!$A$1:$A$103,Cliente!#REF!,"not found",0,1)</f>
        <v>#REF!</v>
      </c>
      <c r="B120" s="26" t="e">
        <f>_xlfn.XMATCH(#REF!,Cliente!$A$1:$A$103,0,1) -1</f>
        <v>#REF!</v>
      </c>
    </row>
    <row r="121" spans="1:2" x14ac:dyDescent="0.35">
      <c r="A121" s="27" t="e">
        <f>_xlfn.XLOOKUP(#REF!,Cliente!$A$1:$A$103,Cliente!#REF!,"not found",0,1)</f>
        <v>#REF!</v>
      </c>
      <c r="B121" s="28" t="e">
        <f>_xlfn.XMATCH(#REF!,Cliente!$A$1:$A$103,0,1) -1</f>
        <v>#REF!</v>
      </c>
    </row>
    <row r="122" spans="1:2" x14ac:dyDescent="0.35">
      <c r="A122" s="25" t="e">
        <f>_xlfn.XLOOKUP(#REF!,Cliente!$A$1:$A$103,Cliente!#REF!,"not found",0,1)</f>
        <v>#REF!</v>
      </c>
      <c r="B122" s="26" t="e">
        <f>_xlfn.XMATCH(#REF!,Cliente!$A$1:$A$103,0,1) -1</f>
        <v>#REF!</v>
      </c>
    </row>
    <row r="123" spans="1:2" x14ac:dyDescent="0.35">
      <c r="A123" s="27" t="e">
        <f>_xlfn.XLOOKUP(#REF!,Cliente!$A$1:$A$103,Cliente!#REF!,"not found",0,1)</f>
        <v>#REF!</v>
      </c>
      <c r="B123" s="28" t="e">
        <f>_xlfn.XMATCH(#REF!,Cliente!$A$1:$A$103,0,1) -1</f>
        <v>#REF!</v>
      </c>
    </row>
    <row r="124" spans="1:2" x14ac:dyDescent="0.35">
      <c r="A124" s="25" t="e">
        <f>_xlfn.XLOOKUP(#REF!,Cliente!$A$1:$A$103,Cliente!#REF!,"not found",0,1)</f>
        <v>#REF!</v>
      </c>
      <c r="B124" s="26" t="e">
        <f>_xlfn.XMATCH(#REF!,Cliente!$A$1:$A$103,0,1) -1</f>
        <v>#REF!</v>
      </c>
    </row>
    <row r="125" spans="1:2" x14ac:dyDescent="0.35">
      <c r="A125" s="27" t="e">
        <f>_xlfn.XLOOKUP(#REF!,Cliente!$A$1:$A$103,Cliente!#REF!,"not found",0,1)</f>
        <v>#REF!</v>
      </c>
      <c r="B125" s="28" t="e">
        <f>_xlfn.XMATCH(#REF!,Cliente!$A$1:$A$103,0,1) -1</f>
        <v>#REF!</v>
      </c>
    </row>
    <row r="126" spans="1:2" x14ac:dyDescent="0.35">
      <c r="A126" s="25" t="e">
        <f>_xlfn.XLOOKUP(#REF!,Cliente!$A$1:$A$103,Cliente!#REF!,"not found",0,1)</f>
        <v>#REF!</v>
      </c>
      <c r="B126" s="26" t="e">
        <f>_xlfn.XMATCH(#REF!,Cliente!$A$1:$A$103,0,1) -1</f>
        <v>#REF!</v>
      </c>
    </row>
    <row r="127" spans="1:2" x14ac:dyDescent="0.35">
      <c r="A127" s="27" t="e">
        <f>_xlfn.XLOOKUP(#REF!,Cliente!$A$1:$A$103,Cliente!#REF!,"not found",0,1)</f>
        <v>#REF!</v>
      </c>
      <c r="B127" s="28" t="e">
        <f>_xlfn.XMATCH(#REF!,Cliente!$A$1:$A$103,0,1) -1</f>
        <v>#REF!</v>
      </c>
    </row>
    <row r="128" spans="1:2" x14ac:dyDescent="0.35">
      <c r="A128" s="25" t="e">
        <f>_xlfn.XLOOKUP(#REF!,Cliente!$A$1:$A$103,Cliente!#REF!,"not found",0,1)</f>
        <v>#REF!</v>
      </c>
      <c r="B128" s="26" t="e">
        <f>_xlfn.XMATCH(#REF!,Cliente!$A$1:$A$103,0,1) -1</f>
        <v>#REF!</v>
      </c>
    </row>
    <row r="129" spans="1:2" x14ac:dyDescent="0.35">
      <c r="A129" s="27" t="e">
        <f>_xlfn.XLOOKUP(#REF!,Cliente!$A$1:$A$103,Cliente!#REF!,"not found",0,1)</f>
        <v>#REF!</v>
      </c>
      <c r="B129" s="28" t="e">
        <f>_xlfn.XMATCH(#REF!,Cliente!$A$1:$A$103,0,1) -1</f>
        <v>#REF!</v>
      </c>
    </row>
    <row r="130" spans="1:2" x14ac:dyDescent="0.35">
      <c r="A130" s="25" t="e">
        <f>_xlfn.XLOOKUP(#REF!,Cliente!$A$1:$A$103,Cliente!#REF!,"not found",0,1)</f>
        <v>#REF!</v>
      </c>
      <c r="B130" s="26" t="e">
        <f>_xlfn.XMATCH(#REF!,Cliente!$A$1:$A$103,0,1) -1</f>
        <v>#REF!</v>
      </c>
    </row>
    <row r="131" spans="1:2" x14ac:dyDescent="0.35">
      <c r="A131" s="27" t="e">
        <f>_xlfn.XLOOKUP(#REF!,Cliente!$A$1:$A$103,Cliente!#REF!,"not found",0,1)</f>
        <v>#REF!</v>
      </c>
      <c r="B131" s="28" t="e">
        <f>_xlfn.XMATCH(#REF!,Cliente!$A$1:$A$103,0,1) -1</f>
        <v>#REF!</v>
      </c>
    </row>
    <row r="132" spans="1:2" x14ac:dyDescent="0.35">
      <c r="A132" s="25" t="e">
        <f>_xlfn.XLOOKUP(#REF!,Cliente!$A$1:$A$103,Cliente!#REF!,"not found",0,1)</f>
        <v>#REF!</v>
      </c>
      <c r="B132" s="26" t="e">
        <f>_xlfn.XMATCH(#REF!,Cliente!$A$1:$A$103,0,1) -1</f>
        <v>#REF!</v>
      </c>
    </row>
    <row r="133" spans="1:2" x14ac:dyDescent="0.35">
      <c r="A133" s="27" t="e">
        <f>_xlfn.XLOOKUP(#REF!,Cliente!$A$1:$A$103,Cliente!#REF!,"not found",0,1)</f>
        <v>#REF!</v>
      </c>
      <c r="B133" s="28" t="e">
        <f>_xlfn.XMATCH(#REF!,Cliente!$A$1:$A$103,0,1) -1</f>
        <v>#REF!</v>
      </c>
    </row>
    <row r="134" spans="1:2" x14ac:dyDescent="0.35">
      <c r="A134" s="25" t="e">
        <f>_xlfn.XLOOKUP(#REF!,Cliente!$A$1:$A$103,Cliente!#REF!,"not found",0,1)</f>
        <v>#REF!</v>
      </c>
      <c r="B134" s="26" t="e">
        <f>_xlfn.XMATCH(#REF!,Cliente!$A$1:$A$103,0,1) -1</f>
        <v>#REF!</v>
      </c>
    </row>
    <row r="135" spans="1:2" x14ac:dyDescent="0.35">
      <c r="A135" s="27" t="e">
        <f>_xlfn.XLOOKUP(#REF!,Cliente!$A$1:$A$103,Cliente!#REF!,"not found",0,1)</f>
        <v>#REF!</v>
      </c>
      <c r="B135" s="28" t="e">
        <f>_xlfn.XMATCH(#REF!,Cliente!$A$1:$A$103,0,1) -1</f>
        <v>#REF!</v>
      </c>
    </row>
    <row r="136" spans="1:2" x14ac:dyDescent="0.35">
      <c r="A136" s="25" t="e">
        <f>_xlfn.XLOOKUP(#REF!,Cliente!$A$1:$A$103,Cliente!#REF!,"not found",0,1)</f>
        <v>#REF!</v>
      </c>
      <c r="B136" s="26" t="e">
        <f>_xlfn.XMATCH(#REF!,Cliente!$A$1:$A$103,0,1) -1</f>
        <v>#REF!</v>
      </c>
    </row>
    <row r="137" spans="1:2" x14ac:dyDescent="0.35">
      <c r="A137" s="27" t="e">
        <f>_xlfn.XLOOKUP(#REF!,Cliente!$A$1:$A$103,Cliente!#REF!,"not found",0,1)</f>
        <v>#REF!</v>
      </c>
      <c r="B137" s="28" t="e">
        <f>_xlfn.XMATCH(#REF!,Cliente!$A$1:$A$103,0,1) -1</f>
        <v>#REF!</v>
      </c>
    </row>
    <row r="138" spans="1:2" x14ac:dyDescent="0.35">
      <c r="A138" s="25" t="e">
        <f>_xlfn.XLOOKUP(#REF!,Cliente!$A$1:$A$103,Cliente!#REF!,"not found",0,1)</f>
        <v>#REF!</v>
      </c>
      <c r="B138" s="26" t="e">
        <f>_xlfn.XMATCH(#REF!,Cliente!$A$1:$A$103,0,1) -1</f>
        <v>#REF!</v>
      </c>
    </row>
    <row r="139" spans="1:2" x14ac:dyDescent="0.35">
      <c r="A139" s="27" t="e">
        <f>_xlfn.XLOOKUP(#REF!,Cliente!$A$1:$A$103,Cliente!#REF!,"not found",0,1)</f>
        <v>#REF!</v>
      </c>
      <c r="B139" s="28" t="e">
        <f>_xlfn.XMATCH(#REF!,Cliente!$A$1:$A$103,0,1) -1</f>
        <v>#REF!</v>
      </c>
    </row>
    <row r="140" spans="1:2" x14ac:dyDescent="0.35">
      <c r="A140" s="25" t="e">
        <f>_xlfn.XLOOKUP(#REF!,Cliente!$A$1:$A$103,Cliente!#REF!,"not found",0,1)</f>
        <v>#REF!</v>
      </c>
      <c r="B140" s="26" t="e">
        <f>_xlfn.XMATCH(#REF!,Cliente!$A$1:$A$103,0,1) -1</f>
        <v>#REF!</v>
      </c>
    </row>
    <row r="141" spans="1:2" x14ac:dyDescent="0.35">
      <c r="A141" s="27" t="e">
        <f>_xlfn.XLOOKUP(#REF!,Cliente!$A$1:$A$103,Cliente!#REF!,"not found",0,1)</f>
        <v>#REF!</v>
      </c>
      <c r="B141" s="28" t="e">
        <f>_xlfn.XMATCH(#REF!,Cliente!$A$1:$A$103,0,1) -1</f>
        <v>#REF!</v>
      </c>
    </row>
    <row r="142" spans="1:2" x14ac:dyDescent="0.35">
      <c r="A142" s="25" t="e">
        <f>_xlfn.XLOOKUP(#REF!,Cliente!$A$1:$A$103,Cliente!#REF!,"not found",0,1)</f>
        <v>#REF!</v>
      </c>
      <c r="B142" s="26" t="e">
        <f>_xlfn.XMATCH(#REF!,Cliente!$A$1:$A$103,0,1) -1</f>
        <v>#REF!</v>
      </c>
    </row>
    <row r="143" spans="1:2" x14ac:dyDescent="0.35">
      <c r="A143" s="27" t="e">
        <f>_xlfn.XLOOKUP(#REF!,Cliente!$A$1:$A$103,Cliente!#REF!,"not found",0,1)</f>
        <v>#REF!</v>
      </c>
      <c r="B143" s="28" t="e">
        <f>_xlfn.XMATCH(#REF!,Cliente!$A$1:$A$103,0,1) -1</f>
        <v>#REF!</v>
      </c>
    </row>
  </sheetData>
  <sheetProtection algorithmName="SHA-512" hashValue="fFN1kg5vWVlrHOdjaxaA57SY+B5+05TC/Xd6ufSA1HdGRz/5vgPTfcTFBHK4cFzvVXqq/dJs17H1O5eBJ7Gl3w==" saltValue="mtcDso9Eqql2mzLhvSp6YA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0CE0E-1782-4A2C-B019-26B3ED74CA92}">
  <sheetPr codeName="Sheet4"/>
  <dimension ref="A1:C150"/>
  <sheetViews>
    <sheetView zoomScaleNormal="100" workbookViewId="0"/>
  </sheetViews>
  <sheetFormatPr baseColWidth="10" defaultColWidth="8.7265625" defaultRowHeight="14.5" customHeight="1" x14ac:dyDescent="0.35"/>
  <cols>
    <col min="1" max="1" width="13.453125" customWidth="1"/>
    <col min="2" max="2" width="29" customWidth="1"/>
    <col min="3" max="3" width="17.36328125" customWidth="1"/>
  </cols>
  <sheetData>
    <row r="1" spans="1:3" ht="14.5" customHeight="1" x14ac:dyDescent="0.35">
      <c r="A1" s="21" t="s">
        <v>30</v>
      </c>
      <c r="B1" s="22" t="s">
        <v>0</v>
      </c>
      <c r="C1" s="23" t="s">
        <v>31</v>
      </c>
    </row>
    <row r="2" spans="1:3" ht="14.5" customHeight="1" x14ac:dyDescent="0.35">
      <c r="A2" s="1" t="s">
        <v>1</v>
      </c>
      <c r="B2" s="1" t="s">
        <v>35</v>
      </c>
      <c r="C2" s="2" t="s">
        <v>28</v>
      </c>
    </row>
    <row r="3" spans="1:3" ht="14.5" customHeight="1" x14ac:dyDescent="0.35">
      <c r="A3" s="1" t="s">
        <v>1</v>
      </c>
      <c r="B3" s="1" t="s">
        <v>38</v>
      </c>
      <c r="C3" s="2" t="s">
        <v>28</v>
      </c>
    </row>
    <row r="4" spans="1:3" ht="14.5" customHeight="1" x14ac:dyDescent="0.35">
      <c r="A4" s="1" t="s">
        <v>1</v>
      </c>
      <c r="B4" s="1" t="s">
        <v>43</v>
      </c>
      <c r="C4" s="2" t="s">
        <v>28</v>
      </c>
    </row>
    <row r="5" spans="1:3" ht="14.5" customHeight="1" x14ac:dyDescent="0.35">
      <c r="A5" s="1" t="s">
        <v>1</v>
      </c>
      <c r="B5" s="1" t="s">
        <v>45</v>
      </c>
      <c r="C5" s="2" t="s">
        <v>28</v>
      </c>
    </row>
    <row r="6" spans="1:3" ht="14.5" customHeight="1" x14ac:dyDescent="0.35">
      <c r="A6" s="1" t="s">
        <v>1</v>
      </c>
      <c r="B6" s="1" t="s">
        <v>48</v>
      </c>
      <c r="C6" s="2" t="s">
        <v>28</v>
      </c>
    </row>
    <row r="7" spans="1:3" ht="14.5" customHeight="1" x14ac:dyDescent="0.35">
      <c r="A7" s="1" t="s">
        <v>1</v>
      </c>
      <c r="B7" s="1" t="s">
        <v>54</v>
      </c>
      <c r="C7" s="2" t="s">
        <v>28</v>
      </c>
    </row>
    <row r="8" spans="1:3" ht="14.5" customHeight="1" x14ac:dyDescent="0.35">
      <c r="A8" s="1" t="s">
        <v>1</v>
      </c>
      <c r="B8" s="1" t="s">
        <v>56</v>
      </c>
      <c r="C8" s="2" t="s">
        <v>28</v>
      </c>
    </row>
    <row r="9" spans="1:3" ht="14.5" customHeight="1" x14ac:dyDescent="0.35">
      <c r="A9" s="1" t="s">
        <v>1</v>
      </c>
      <c r="B9" s="1" t="s">
        <v>58</v>
      </c>
      <c r="C9" s="2" t="s">
        <v>28</v>
      </c>
    </row>
    <row r="10" spans="1:3" ht="14.5" customHeight="1" x14ac:dyDescent="0.35">
      <c r="A10" s="1" t="s">
        <v>1</v>
      </c>
      <c r="B10" s="1" t="s">
        <v>60</v>
      </c>
      <c r="C10" s="2" t="s">
        <v>28</v>
      </c>
    </row>
    <row r="11" spans="1:3" ht="14.5" customHeight="1" x14ac:dyDescent="0.35">
      <c r="A11" s="1" t="s">
        <v>1</v>
      </c>
      <c r="B11" s="1" t="s">
        <v>32</v>
      </c>
      <c r="C11" s="2" t="s">
        <v>24</v>
      </c>
    </row>
    <row r="12" spans="1:3" ht="14.5" customHeight="1" x14ac:dyDescent="0.35">
      <c r="A12" s="1" t="s">
        <v>1</v>
      </c>
      <c r="B12" s="1" t="s">
        <v>33</v>
      </c>
      <c r="C12" s="2" t="s">
        <v>24</v>
      </c>
    </row>
    <row r="13" spans="1:3" ht="14.5" customHeight="1" x14ac:dyDescent="0.35">
      <c r="A13" s="1" t="s">
        <v>1</v>
      </c>
      <c r="B13" s="1" t="s">
        <v>34</v>
      </c>
      <c r="C13" s="2" t="s">
        <v>24</v>
      </c>
    </row>
    <row r="14" spans="1:3" ht="14.5" customHeight="1" x14ac:dyDescent="0.35">
      <c r="A14" s="1" t="s">
        <v>1</v>
      </c>
      <c r="B14" s="1" t="s">
        <v>36</v>
      </c>
      <c r="C14" s="2" t="s">
        <v>24</v>
      </c>
    </row>
    <row r="15" spans="1:3" ht="14.5" customHeight="1" x14ac:dyDescent="0.35">
      <c r="A15" s="1" t="s">
        <v>1</v>
      </c>
      <c r="B15" s="1" t="s">
        <v>37</v>
      </c>
      <c r="C15" s="2" t="s">
        <v>24</v>
      </c>
    </row>
    <row r="16" spans="1:3" ht="14.5" customHeight="1" x14ac:dyDescent="0.35">
      <c r="A16" s="1" t="s">
        <v>1</v>
      </c>
      <c r="B16" s="1" t="s">
        <v>39</v>
      </c>
      <c r="C16" s="2" t="s">
        <v>24</v>
      </c>
    </row>
    <row r="17" spans="1:3" ht="14.5" customHeight="1" x14ac:dyDescent="0.35">
      <c r="A17" s="1" t="s">
        <v>1</v>
      </c>
      <c r="B17" s="1" t="s">
        <v>40</v>
      </c>
      <c r="C17" s="2" t="s">
        <v>24</v>
      </c>
    </row>
    <row r="18" spans="1:3" ht="14.5" customHeight="1" x14ac:dyDescent="0.35">
      <c r="A18" s="1" t="s">
        <v>1</v>
      </c>
      <c r="B18" s="1" t="s">
        <v>42</v>
      </c>
      <c r="C18" s="2" t="s">
        <v>24</v>
      </c>
    </row>
    <row r="19" spans="1:3" ht="14.5" customHeight="1" x14ac:dyDescent="0.35">
      <c r="A19" s="1" t="s">
        <v>1</v>
      </c>
      <c r="B19" s="1" t="s">
        <v>44</v>
      </c>
      <c r="C19" s="2" t="s">
        <v>24</v>
      </c>
    </row>
    <row r="20" spans="1:3" ht="14.5" customHeight="1" x14ac:dyDescent="0.35">
      <c r="A20" s="1" t="s">
        <v>1</v>
      </c>
      <c r="B20" s="1" t="s">
        <v>46</v>
      </c>
      <c r="C20" s="2" t="s">
        <v>24</v>
      </c>
    </row>
    <row r="21" spans="1:3" ht="14.5" customHeight="1" x14ac:dyDescent="0.35">
      <c r="A21" s="1" t="s">
        <v>1</v>
      </c>
      <c r="B21" s="1" t="s">
        <v>47</v>
      </c>
      <c r="C21" s="2" t="s">
        <v>24</v>
      </c>
    </row>
    <row r="22" spans="1:3" ht="14.5" customHeight="1" x14ac:dyDescent="0.35">
      <c r="A22" s="1" t="s">
        <v>1</v>
      </c>
      <c r="B22" s="1" t="s">
        <v>51</v>
      </c>
      <c r="C22" s="2" t="s">
        <v>24</v>
      </c>
    </row>
    <row r="23" spans="1:3" ht="14.5" customHeight="1" x14ac:dyDescent="0.35">
      <c r="A23" s="1" t="s">
        <v>1</v>
      </c>
      <c r="B23" s="1" t="s">
        <v>52</v>
      </c>
      <c r="C23" s="2" t="s">
        <v>24</v>
      </c>
    </row>
    <row r="24" spans="1:3" ht="14.5" customHeight="1" x14ac:dyDescent="0.35">
      <c r="A24" s="1" t="s">
        <v>1</v>
      </c>
      <c r="B24" s="1" t="s">
        <v>53</v>
      </c>
      <c r="C24" s="2" t="s">
        <v>24</v>
      </c>
    </row>
    <row r="25" spans="1:3" ht="14.5" customHeight="1" x14ac:dyDescent="0.35">
      <c r="A25" s="1" t="s">
        <v>1</v>
      </c>
      <c r="B25" s="1" t="s">
        <v>55</v>
      </c>
      <c r="C25" s="2" t="s">
        <v>24</v>
      </c>
    </row>
    <row r="26" spans="1:3" ht="14.5" customHeight="1" x14ac:dyDescent="0.35">
      <c r="A26" s="1" t="s">
        <v>1</v>
      </c>
      <c r="B26" s="1" t="s">
        <v>57</v>
      </c>
      <c r="C26" s="2" t="s">
        <v>24</v>
      </c>
    </row>
    <row r="27" spans="1:3" ht="14.5" customHeight="1" x14ac:dyDescent="0.35">
      <c r="A27" s="1" t="s">
        <v>1</v>
      </c>
      <c r="B27" s="1" t="s">
        <v>59</v>
      </c>
      <c r="C27" s="2" t="s">
        <v>24</v>
      </c>
    </row>
    <row r="28" spans="1:3" ht="14.5" customHeight="1" x14ac:dyDescent="0.35">
      <c r="A28" s="1" t="s">
        <v>1</v>
      </c>
      <c r="B28" s="1" t="s">
        <v>61</v>
      </c>
      <c r="C28" s="2" t="s">
        <v>24</v>
      </c>
    </row>
    <row r="29" spans="1:3" ht="14.5" customHeight="1" x14ac:dyDescent="0.35">
      <c r="A29" s="1" t="s">
        <v>4</v>
      </c>
      <c r="B29" s="1" t="s">
        <v>20</v>
      </c>
      <c r="C29" s="2" t="s">
        <v>28</v>
      </c>
    </row>
    <row r="30" spans="1:3" ht="14.5" customHeight="1" x14ac:dyDescent="0.35">
      <c r="A30" s="1" t="s">
        <v>4</v>
      </c>
      <c r="B30" s="1" t="s">
        <v>67</v>
      </c>
      <c r="C30" s="2" t="s">
        <v>24</v>
      </c>
    </row>
    <row r="31" spans="1:3" ht="14.5" customHeight="1" x14ac:dyDescent="0.35">
      <c r="A31" s="1" t="s">
        <v>2</v>
      </c>
      <c r="B31" s="1" t="s">
        <v>68</v>
      </c>
      <c r="C31" s="2" t="s">
        <v>28</v>
      </c>
    </row>
    <row r="32" spans="1:3" ht="14.5" customHeight="1" x14ac:dyDescent="0.35">
      <c r="A32" s="1" t="s">
        <v>2</v>
      </c>
      <c r="B32" s="1" t="s">
        <v>70</v>
      </c>
      <c r="C32" s="2" t="s">
        <v>28</v>
      </c>
    </row>
    <row r="33" spans="1:3" ht="14.5" customHeight="1" x14ac:dyDescent="0.35">
      <c r="A33" s="1" t="s">
        <v>2</v>
      </c>
      <c r="B33" s="1" t="s">
        <v>72</v>
      </c>
      <c r="C33" s="2" t="s">
        <v>28</v>
      </c>
    </row>
    <row r="34" spans="1:3" ht="14.5" customHeight="1" x14ac:dyDescent="0.35">
      <c r="A34" s="1" t="s">
        <v>2</v>
      </c>
      <c r="B34" s="1" t="s">
        <v>73</v>
      </c>
      <c r="C34" s="2" t="s">
        <v>28</v>
      </c>
    </row>
    <row r="35" spans="1:3" ht="14.5" customHeight="1" x14ac:dyDescent="0.35">
      <c r="A35" s="1" t="s">
        <v>2</v>
      </c>
      <c r="B35" s="1" t="s">
        <v>74</v>
      </c>
      <c r="C35" s="2" t="s">
        <v>28</v>
      </c>
    </row>
    <row r="36" spans="1:3" ht="14.5" customHeight="1" x14ac:dyDescent="0.35">
      <c r="A36" s="1" t="s">
        <v>2</v>
      </c>
      <c r="B36" s="1" t="s">
        <v>75</v>
      </c>
      <c r="C36" s="2" t="s">
        <v>28</v>
      </c>
    </row>
    <row r="37" spans="1:3" ht="14.5" customHeight="1" x14ac:dyDescent="0.35">
      <c r="A37" s="1" t="s">
        <v>2</v>
      </c>
      <c r="B37" s="1" t="s">
        <v>77</v>
      </c>
      <c r="C37" s="2" t="s">
        <v>28</v>
      </c>
    </row>
    <row r="38" spans="1:3" ht="14.5" customHeight="1" x14ac:dyDescent="0.35">
      <c r="A38" s="1" t="s">
        <v>2</v>
      </c>
      <c r="B38" s="1" t="s">
        <v>78</v>
      </c>
      <c r="C38" s="2" t="s">
        <v>28</v>
      </c>
    </row>
    <row r="39" spans="1:3" ht="14.5" customHeight="1" x14ac:dyDescent="0.35">
      <c r="A39" s="1" t="s">
        <v>2</v>
      </c>
      <c r="B39" s="1" t="s">
        <v>79</v>
      </c>
      <c r="C39" s="2" t="s">
        <v>28</v>
      </c>
    </row>
    <row r="40" spans="1:3" ht="14.5" customHeight="1" x14ac:dyDescent="0.35">
      <c r="A40" s="1" t="s">
        <v>2</v>
      </c>
      <c r="B40" s="1" t="s">
        <v>81</v>
      </c>
      <c r="C40" s="2" t="s">
        <v>28</v>
      </c>
    </row>
    <row r="41" spans="1:3" ht="14.5" customHeight="1" x14ac:dyDescent="0.35">
      <c r="A41" s="1" t="s">
        <v>2</v>
      </c>
      <c r="B41" s="1" t="s">
        <v>21</v>
      </c>
      <c r="C41" s="2" t="s">
        <v>28</v>
      </c>
    </row>
    <row r="42" spans="1:3" ht="14.5" customHeight="1" x14ac:dyDescent="0.35">
      <c r="A42" s="1" t="s">
        <v>2</v>
      </c>
      <c r="B42" s="1" t="s">
        <v>89</v>
      </c>
      <c r="C42" s="2" t="s">
        <v>28</v>
      </c>
    </row>
    <row r="43" spans="1:3" ht="14.5" customHeight="1" x14ac:dyDescent="0.35">
      <c r="A43" s="1" t="s">
        <v>2</v>
      </c>
      <c r="B43" s="1" t="s">
        <v>91</v>
      </c>
      <c r="C43" s="10" t="s">
        <v>28</v>
      </c>
    </row>
    <row r="44" spans="1:3" ht="14.5" customHeight="1" x14ac:dyDescent="0.35">
      <c r="A44" s="1" t="s">
        <v>2</v>
      </c>
      <c r="B44" s="1" t="s">
        <v>93</v>
      </c>
      <c r="C44" s="2" t="s">
        <v>28</v>
      </c>
    </row>
    <row r="45" spans="1:3" ht="14.5" customHeight="1" x14ac:dyDescent="0.35">
      <c r="A45" s="1" t="s">
        <v>2</v>
      </c>
      <c r="B45" s="1" t="s">
        <v>41</v>
      </c>
      <c r="C45" s="2" t="s">
        <v>24</v>
      </c>
    </row>
    <row r="46" spans="1:3" ht="14.5" customHeight="1" x14ac:dyDescent="0.35">
      <c r="A46" s="1" t="s">
        <v>2</v>
      </c>
      <c r="B46" s="1" t="s">
        <v>69</v>
      </c>
      <c r="C46" s="2" t="s">
        <v>24</v>
      </c>
    </row>
    <row r="47" spans="1:3" ht="14.5" customHeight="1" x14ac:dyDescent="0.35">
      <c r="A47" s="1" t="s">
        <v>2</v>
      </c>
      <c r="B47" s="1" t="s">
        <v>71</v>
      </c>
      <c r="C47" s="2" t="s">
        <v>24</v>
      </c>
    </row>
    <row r="48" spans="1:3" ht="14.5" customHeight="1" x14ac:dyDescent="0.35">
      <c r="A48" s="1" t="s">
        <v>2</v>
      </c>
      <c r="B48" s="1" t="s">
        <v>5</v>
      </c>
      <c r="C48" s="2" t="s">
        <v>24</v>
      </c>
    </row>
    <row r="49" spans="1:3" ht="14.5" customHeight="1" x14ac:dyDescent="0.35">
      <c r="A49" s="1" t="s">
        <v>2</v>
      </c>
      <c r="B49" s="1" t="s">
        <v>76</v>
      </c>
      <c r="C49" s="2" t="s">
        <v>24</v>
      </c>
    </row>
    <row r="50" spans="1:3" ht="14.5" customHeight="1" x14ac:dyDescent="0.35">
      <c r="A50" s="1" t="s">
        <v>2</v>
      </c>
      <c r="B50" s="1" t="s">
        <v>80</v>
      </c>
      <c r="C50" s="2" t="s">
        <v>24</v>
      </c>
    </row>
    <row r="51" spans="1:3" ht="14.5" customHeight="1" x14ac:dyDescent="0.35">
      <c r="A51" s="1" t="s">
        <v>2</v>
      </c>
      <c r="B51" s="1" t="s">
        <v>82</v>
      </c>
      <c r="C51" s="2" t="s">
        <v>24</v>
      </c>
    </row>
    <row r="52" spans="1:3" ht="14.5" customHeight="1" x14ac:dyDescent="0.35">
      <c r="A52" s="1" t="s">
        <v>2</v>
      </c>
      <c r="B52" s="1" t="s">
        <v>83</v>
      </c>
      <c r="C52" s="2" t="s">
        <v>24</v>
      </c>
    </row>
    <row r="53" spans="1:3" ht="14.5" customHeight="1" x14ac:dyDescent="0.35">
      <c r="A53" s="1" t="s">
        <v>2</v>
      </c>
      <c r="B53" s="1" t="s">
        <v>84</v>
      </c>
      <c r="C53" s="2" t="s">
        <v>24</v>
      </c>
    </row>
    <row r="54" spans="1:3" ht="14.5" customHeight="1" x14ac:dyDescent="0.35">
      <c r="A54" s="1" t="s">
        <v>2</v>
      </c>
      <c r="B54" s="1" t="s">
        <v>85</v>
      </c>
      <c r="C54" s="2" t="s">
        <v>24</v>
      </c>
    </row>
    <row r="55" spans="1:3" ht="14.5" customHeight="1" x14ac:dyDescent="0.35">
      <c r="A55" s="1" t="s">
        <v>2</v>
      </c>
      <c r="B55" s="1" t="s">
        <v>86</v>
      </c>
      <c r="C55" s="2" t="s">
        <v>24</v>
      </c>
    </row>
    <row r="56" spans="1:3" ht="14.5" customHeight="1" x14ac:dyDescent="0.35">
      <c r="A56" s="8" t="s">
        <v>2</v>
      </c>
      <c r="B56" s="8" t="s">
        <v>23</v>
      </c>
      <c r="C56" s="9" t="s">
        <v>24</v>
      </c>
    </row>
    <row r="57" spans="1:3" ht="14.5" customHeight="1" x14ac:dyDescent="0.35">
      <c r="A57" s="1" t="s">
        <v>2</v>
      </c>
      <c r="B57" s="1" t="s">
        <v>87</v>
      </c>
      <c r="C57" s="2" t="s">
        <v>24</v>
      </c>
    </row>
    <row r="58" spans="1:3" ht="14.5" customHeight="1" x14ac:dyDescent="0.35">
      <c r="A58" s="1" t="s">
        <v>2</v>
      </c>
      <c r="B58" s="1" t="s">
        <v>88</v>
      </c>
      <c r="C58" s="2" t="s">
        <v>24</v>
      </c>
    </row>
    <row r="59" spans="1:3" ht="14.5" customHeight="1" x14ac:dyDescent="0.35">
      <c r="A59" s="1" t="s">
        <v>2</v>
      </c>
      <c r="B59" s="1" t="s">
        <v>90</v>
      </c>
      <c r="C59" s="2" t="s">
        <v>24</v>
      </c>
    </row>
    <row r="60" spans="1:3" ht="14.5" customHeight="1" x14ac:dyDescent="0.35">
      <c r="A60" s="1" t="s">
        <v>2</v>
      </c>
      <c r="B60" s="1" t="s">
        <v>92</v>
      </c>
      <c r="C60" s="2" t="s">
        <v>24</v>
      </c>
    </row>
    <row r="61" spans="1:3" ht="14.5" customHeight="1" x14ac:dyDescent="0.35">
      <c r="A61" s="1" t="s">
        <v>2</v>
      </c>
      <c r="B61" s="1" t="s">
        <v>94</v>
      </c>
      <c r="C61" s="2" t="s">
        <v>24</v>
      </c>
    </row>
    <row r="62" spans="1:3" ht="14.5" customHeight="1" x14ac:dyDescent="0.35">
      <c r="A62" s="1" t="s">
        <v>2</v>
      </c>
      <c r="B62" s="1" t="s">
        <v>95</v>
      </c>
      <c r="C62" s="2" t="s">
        <v>24</v>
      </c>
    </row>
    <row r="63" spans="1:3" ht="14.5" customHeight="1" x14ac:dyDescent="0.35">
      <c r="A63" s="1" t="s">
        <v>2</v>
      </c>
      <c r="B63" s="1" t="s">
        <v>96</v>
      </c>
      <c r="C63" s="2" t="s">
        <v>24</v>
      </c>
    </row>
    <row r="64" spans="1:3" ht="14.5" customHeight="1" x14ac:dyDescent="0.35">
      <c r="A64" s="1" t="s">
        <v>6</v>
      </c>
      <c r="B64" s="1" t="s">
        <v>98</v>
      </c>
      <c r="C64" s="2" t="s">
        <v>28</v>
      </c>
    </row>
    <row r="65" spans="1:3" ht="14.5" customHeight="1" x14ac:dyDescent="0.35">
      <c r="A65" s="1" t="s">
        <v>6</v>
      </c>
      <c r="B65" s="1" t="s">
        <v>99</v>
      </c>
      <c r="C65" s="2" t="s">
        <v>28</v>
      </c>
    </row>
    <row r="66" spans="1:3" ht="14.5" customHeight="1" x14ac:dyDescent="0.35">
      <c r="A66" s="1" t="s">
        <v>6</v>
      </c>
      <c r="B66" s="1" t="s">
        <v>101</v>
      </c>
      <c r="C66" s="2" t="s">
        <v>28</v>
      </c>
    </row>
    <row r="67" spans="1:3" ht="14.5" customHeight="1" x14ac:dyDescent="0.35">
      <c r="A67" s="1" t="s">
        <v>6</v>
      </c>
      <c r="B67" s="1" t="s">
        <v>105</v>
      </c>
      <c r="C67" s="2" t="s">
        <v>28</v>
      </c>
    </row>
    <row r="68" spans="1:3" ht="14.5" customHeight="1" x14ac:dyDescent="0.35">
      <c r="A68" s="1" t="s">
        <v>6</v>
      </c>
      <c r="B68" s="1" t="s">
        <v>97</v>
      </c>
      <c r="C68" s="2" t="s">
        <v>24</v>
      </c>
    </row>
    <row r="69" spans="1:3" ht="14.5" customHeight="1" x14ac:dyDescent="0.35">
      <c r="A69" s="1" t="s">
        <v>6</v>
      </c>
      <c r="B69" s="1" t="s">
        <v>100</v>
      </c>
      <c r="C69" s="2" t="s">
        <v>24</v>
      </c>
    </row>
    <row r="70" spans="1:3" ht="14.5" customHeight="1" x14ac:dyDescent="0.35">
      <c r="A70" s="1" t="s">
        <v>6</v>
      </c>
      <c r="B70" s="1" t="s">
        <v>102</v>
      </c>
      <c r="C70" s="2" t="s">
        <v>24</v>
      </c>
    </row>
    <row r="71" spans="1:3" ht="14.5" customHeight="1" x14ac:dyDescent="0.35">
      <c r="A71" s="1" t="s">
        <v>6</v>
      </c>
      <c r="B71" s="1" t="s">
        <v>103</v>
      </c>
      <c r="C71" s="2" t="s">
        <v>24</v>
      </c>
    </row>
    <row r="72" spans="1:3" ht="14.5" customHeight="1" x14ac:dyDescent="0.35">
      <c r="A72" s="1" t="s">
        <v>6</v>
      </c>
      <c r="B72" s="1" t="s">
        <v>104</v>
      </c>
      <c r="C72" s="2" t="s">
        <v>24</v>
      </c>
    </row>
    <row r="73" spans="1:3" ht="14.5" customHeight="1" x14ac:dyDescent="0.35">
      <c r="A73" s="6" t="s">
        <v>161</v>
      </c>
      <c r="B73" s="1" t="s">
        <v>162</v>
      </c>
      <c r="C73" s="7" t="s">
        <v>28</v>
      </c>
    </row>
    <row r="74" spans="1:3" ht="14.5" customHeight="1" x14ac:dyDescent="0.35">
      <c r="A74" s="6" t="s">
        <v>161</v>
      </c>
      <c r="B74" s="1" t="s">
        <v>163</v>
      </c>
      <c r="C74" s="7" t="s">
        <v>28</v>
      </c>
    </row>
    <row r="75" spans="1:3" ht="14.5" customHeight="1" x14ac:dyDescent="0.35">
      <c r="A75" s="6" t="s">
        <v>161</v>
      </c>
      <c r="B75" s="1" t="s">
        <v>164</v>
      </c>
      <c r="C75" s="7" t="s">
        <v>28</v>
      </c>
    </row>
    <row r="76" spans="1:3" ht="14.5" customHeight="1" x14ac:dyDescent="0.35">
      <c r="A76" s="6" t="s">
        <v>161</v>
      </c>
      <c r="B76" s="1" t="s">
        <v>165</v>
      </c>
      <c r="C76" s="7" t="s">
        <v>28</v>
      </c>
    </row>
    <row r="77" spans="1:3" ht="14.5" customHeight="1" x14ac:dyDescent="0.35">
      <c r="A77" s="6" t="s">
        <v>161</v>
      </c>
      <c r="B77" s="1" t="s">
        <v>166</v>
      </c>
      <c r="C77" s="7" t="s">
        <v>28</v>
      </c>
    </row>
    <row r="78" spans="1:3" ht="14.5" customHeight="1" x14ac:dyDescent="0.35">
      <c r="A78" s="6" t="s">
        <v>161</v>
      </c>
      <c r="B78" s="1" t="s">
        <v>167</v>
      </c>
      <c r="C78" s="7"/>
    </row>
    <row r="79" spans="1:3" ht="14.5" customHeight="1" x14ac:dyDescent="0.35">
      <c r="A79" s="6" t="s">
        <v>168</v>
      </c>
      <c r="B79" s="1" t="s">
        <v>169</v>
      </c>
      <c r="C79" s="7" t="s">
        <v>28</v>
      </c>
    </row>
    <row r="80" spans="1:3" ht="14.5" customHeight="1" x14ac:dyDescent="0.35">
      <c r="A80" s="6" t="s">
        <v>168</v>
      </c>
      <c r="B80" s="1" t="s">
        <v>170</v>
      </c>
      <c r="C80" s="7" t="s">
        <v>28</v>
      </c>
    </row>
    <row r="81" spans="1:3" ht="14.5" customHeight="1" x14ac:dyDescent="0.35">
      <c r="A81" s="6" t="s">
        <v>168</v>
      </c>
      <c r="B81" s="1" t="s">
        <v>171</v>
      </c>
      <c r="C81" s="7" t="s">
        <v>28</v>
      </c>
    </row>
    <row r="82" spans="1:3" ht="14.5" customHeight="1" x14ac:dyDescent="0.35">
      <c r="A82" s="6" t="s">
        <v>168</v>
      </c>
      <c r="B82" s="1" t="s">
        <v>172</v>
      </c>
      <c r="C82" s="7" t="s">
        <v>28</v>
      </c>
    </row>
    <row r="83" spans="1:3" ht="14.5" customHeight="1" x14ac:dyDescent="0.35">
      <c r="A83" s="6" t="s">
        <v>168</v>
      </c>
      <c r="B83" s="1" t="s">
        <v>173</v>
      </c>
      <c r="C83" s="7" t="s">
        <v>28</v>
      </c>
    </row>
    <row r="84" spans="1:3" ht="14.5" customHeight="1" x14ac:dyDescent="0.35">
      <c r="A84" s="19" t="s">
        <v>168</v>
      </c>
      <c r="B84" s="8" t="s">
        <v>174</v>
      </c>
      <c r="C84" s="20" t="s">
        <v>28</v>
      </c>
    </row>
    <row r="85" spans="1:3" ht="14.5" customHeight="1" x14ac:dyDescent="0.35">
      <c r="A85" s="1" t="s">
        <v>12</v>
      </c>
      <c r="B85" s="1" t="s">
        <v>125</v>
      </c>
      <c r="C85" s="2" t="s">
        <v>28</v>
      </c>
    </row>
    <row r="86" spans="1:3" ht="14.5" customHeight="1" x14ac:dyDescent="0.35">
      <c r="A86" s="1" t="s">
        <v>12</v>
      </c>
      <c r="B86" s="1" t="s">
        <v>13</v>
      </c>
      <c r="C86" s="2" t="s">
        <v>28</v>
      </c>
    </row>
    <row r="87" spans="1:3" ht="14.5" customHeight="1" x14ac:dyDescent="0.35">
      <c r="A87" s="1" t="s">
        <v>12</v>
      </c>
      <c r="B87" s="1" t="s">
        <v>130</v>
      </c>
      <c r="C87" s="2" t="s">
        <v>28</v>
      </c>
    </row>
    <row r="88" spans="1:3" ht="14.5" customHeight="1" x14ac:dyDescent="0.35">
      <c r="A88" s="1" t="s">
        <v>12</v>
      </c>
      <c r="B88" s="1" t="s">
        <v>138</v>
      </c>
      <c r="C88" s="2" t="s">
        <v>28</v>
      </c>
    </row>
    <row r="89" spans="1:3" ht="14.5" customHeight="1" x14ac:dyDescent="0.35">
      <c r="A89" s="1" t="s">
        <v>12</v>
      </c>
      <c r="B89" s="1" t="s">
        <v>139</v>
      </c>
      <c r="C89" s="2" t="s">
        <v>28</v>
      </c>
    </row>
    <row r="90" spans="1:3" ht="14.5" customHeight="1" x14ac:dyDescent="0.35">
      <c r="A90" s="1" t="s">
        <v>12</v>
      </c>
      <c r="B90" s="1" t="s">
        <v>124</v>
      </c>
      <c r="C90" s="2" t="s">
        <v>24</v>
      </c>
    </row>
    <row r="91" spans="1:3" ht="14.5" customHeight="1" x14ac:dyDescent="0.35">
      <c r="A91" s="16" t="s">
        <v>12</v>
      </c>
      <c r="B91" s="16" t="s">
        <v>126</v>
      </c>
      <c r="C91" s="2" t="s">
        <v>24</v>
      </c>
    </row>
    <row r="92" spans="1:3" ht="14.5" customHeight="1" x14ac:dyDescent="0.35">
      <c r="A92" s="1" t="s">
        <v>12</v>
      </c>
      <c r="B92" s="1" t="s">
        <v>127</v>
      </c>
      <c r="C92" s="2" t="s">
        <v>24</v>
      </c>
    </row>
    <row r="93" spans="1:3" ht="14.5" customHeight="1" x14ac:dyDescent="0.35">
      <c r="A93" s="1" t="s">
        <v>12</v>
      </c>
      <c r="B93" s="1" t="s">
        <v>128</v>
      </c>
      <c r="C93" s="2" t="s">
        <v>24</v>
      </c>
    </row>
    <row r="94" spans="1:3" ht="14.5" customHeight="1" x14ac:dyDescent="0.35">
      <c r="A94" s="1" t="s">
        <v>12</v>
      </c>
      <c r="B94" s="1" t="s">
        <v>129</v>
      </c>
      <c r="C94" s="2" t="s">
        <v>24</v>
      </c>
    </row>
    <row r="95" spans="1:3" ht="14.5" customHeight="1" x14ac:dyDescent="0.35">
      <c r="A95" s="1" t="s">
        <v>12</v>
      </c>
      <c r="B95" s="24" t="s">
        <v>131</v>
      </c>
      <c r="C95" s="2" t="s">
        <v>24</v>
      </c>
    </row>
    <row r="96" spans="1:3" ht="14.5" customHeight="1" x14ac:dyDescent="0.35">
      <c r="A96" s="1" t="s">
        <v>12</v>
      </c>
      <c r="B96" s="1" t="s">
        <v>132</v>
      </c>
      <c r="C96" s="2" t="s">
        <v>24</v>
      </c>
    </row>
    <row r="97" spans="1:3" ht="14.5" customHeight="1" x14ac:dyDescent="0.35">
      <c r="A97" s="1" t="s">
        <v>12</v>
      </c>
      <c r="B97" s="1" t="s">
        <v>133</v>
      </c>
      <c r="C97" s="17" t="s">
        <v>24</v>
      </c>
    </row>
    <row r="98" spans="1:3" ht="14.5" customHeight="1" x14ac:dyDescent="0.35">
      <c r="A98" s="1" t="s">
        <v>12</v>
      </c>
      <c r="B98" s="1" t="s">
        <v>134</v>
      </c>
      <c r="C98" s="2" t="s">
        <v>24</v>
      </c>
    </row>
    <row r="99" spans="1:3" ht="14.5" customHeight="1" x14ac:dyDescent="0.35">
      <c r="A99" s="1" t="s">
        <v>12</v>
      </c>
      <c r="B99" s="1" t="s">
        <v>135</v>
      </c>
      <c r="C99" s="2" t="s">
        <v>24</v>
      </c>
    </row>
    <row r="100" spans="1:3" ht="14.5" customHeight="1" x14ac:dyDescent="0.35">
      <c r="A100" s="1" t="s">
        <v>12</v>
      </c>
      <c r="B100" s="1" t="s">
        <v>136</v>
      </c>
      <c r="C100" s="2" t="s">
        <v>24</v>
      </c>
    </row>
    <row r="101" spans="1:3" ht="14.5" customHeight="1" x14ac:dyDescent="0.35">
      <c r="A101" s="1" t="s">
        <v>12</v>
      </c>
      <c r="B101" s="1" t="s">
        <v>137</v>
      </c>
      <c r="C101" s="2" t="s">
        <v>24</v>
      </c>
    </row>
    <row r="102" spans="1:3" ht="14.5" customHeight="1" x14ac:dyDescent="0.35">
      <c r="A102" s="1" t="s">
        <v>12</v>
      </c>
      <c r="B102" s="1" t="s">
        <v>140</v>
      </c>
      <c r="C102" s="2" t="s">
        <v>24</v>
      </c>
    </row>
    <row r="103" spans="1:3" ht="14.5" customHeight="1" x14ac:dyDescent="0.35">
      <c r="A103" s="1" t="s">
        <v>12</v>
      </c>
      <c r="B103" s="1" t="s">
        <v>141</v>
      </c>
      <c r="C103" s="2" t="s">
        <v>24</v>
      </c>
    </row>
    <row r="104" spans="1:3" ht="14.5" customHeight="1" x14ac:dyDescent="0.35">
      <c r="A104" s="1" t="s">
        <v>8</v>
      </c>
      <c r="B104" s="1" t="s">
        <v>111</v>
      </c>
      <c r="C104" s="2" t="s">
        <v>28</v>
      </c>
    </row>
    <row r="105" spans="1:3" ht="14.5" customHeight="1" x14ac:dyDescent="0.35">
      <c r="A105" s="1" t="s">
        <v>8</v>
      </c>
      <c r="B105" s="1" t="s">
        <v>112</v>
      </c>
      <c r="C105" s="2" t="s">
        <v>28</v>
      </c>
    </row>
    <row r="106" spans="1:3" ht="14.5" customHeight="1" x14ac:dyDescent="0.35">
      <c r="A106" s="1" t="s">
        <v>8</v>
      </c>
      <c r="B106" s="1" t="s">
        <v>113</v>
      </c>
      <c r="C106" s="2" t="s">
        <v>28</v>
      </c>
    </row>
    <row r="107" spans="1:3" ht="14.5" customHeight="1" x14ac:dyDescent="0.35">
      <c r="A107" s="1" t="s">
        <v>8</v>
      </c>
      <c r="B107" s="12" t="s">
        <v>114</v>
      </c>
      <c r="C107" s="2" t="s">
        <v>28</v>
      </c>
    </row>
    <row r="108" spans="1:3" ht="14.5" customHeight="1" x14ac:dyDescent="0.35">
      <c r="A108" s="1" t="s">
        <v>8</v>
      </c>
      <c r="B108" s="1" t="s">
        <v>9</v>
      </c>
      <c r="C108" s="2" t="s">
        <v>28</v>
      </c>
    </row>
    <row r="109" spans="1:3" ht="14.5" customHeight="1" x14ac:dyDescent="0.35">
      <c r="A109" s="1" t="s">
        <v>8</v>
      </c>
      <c r="B109" s="1" t="s">
        <v>115</v>
      </c>
      <c r="C109" s="13" t="s">
        <v>28</v>
      </c>
    </row>
    <row r="110" spans="1:3" ht="14.5" customHeight="1" x14ac:dyDescent="0.35">
      <c r="A110" s="1" t="s">
        <v>8</v>
      </c>
      <c r="B110" s="1" t="s">
        <v>116</v>
      </c>
      <c r="C110" s="13" t="s">
        <v>28</v>
      </c>
    </row>
    <row r="111" spans="1:3" ht="14.5" customHeight="1" x14ac:dyDescent="0.35">
      <c r="A111" s="1" t="s">
        <v>8</v>
      </c>
      <c r="B111" s="1" t="s">
        <v>117</v>
      </c>
      <c r="C111" s="11" t="s">
        <v>28</v>
      </c>
    </row>
    <row r="112" spans="1:3" ht="14.5" customHeight="1" x14ac:dyDescent="0.35">
      <c r="A112" s="1" t="s">
        <v>11</v>
      </c>
      <c r="B112" s="1" t="s">
        <v>121</v>
      </c>
      <c r="C112" s="2" t="s">
        <v>24</v>
      </c>
    </row>
    <row r="113" spans="1:3" ht="14.5" customHeight="1" x14ac:dyDescent="0.35">
      <c r="A113" s="1" t="s">
        <v>11</v>
      </c>
      <c r="B113" s="6" t="s">
        <v>122</v>
      </c>
      <c r="C113" s="2" t="s">
        <v>24</v>
      </c>
    </row>
    <row r="114" spans="1:3" ht="14.5" customHeight="1" x14ac:dyDescent="0.35">
      <c r="A114" s="1" t="s">
        <v>11</v>
      </c>
      <c r="B114" s="1" t="s">
        <v>123</v>
      </c>
      <c r="C114" s="15" t="s">
        <v>24</v>
      </c>
    </row>
    <row r="115" spans="1:3" ht="14.5" customHeight="1" x14ac:dyDescent="0.35">
      <c r="A115" s="1" t="s">
        <v>49</v>
      </c>
      <c r="B115" s="1" t="s">
        <v>50</v>
      </c>
      <c r="C115" s="4" t="s">
        <v>28</v>
      </c>
    </row>
    <row r="116" spans="1:3" ht="14.5" customHeight="1" x14ac:dyDescent="0.35">
      <c r="A116" s="6" t="s">
        <v>15</v>
      </c>
      <c r="B116" s="1" t="s">
        <v>22</v>
      </c>
      <c r="C116" s="7" t="s">
        <v>24</v>
      </c>
    </row>
    <row r="117" spans="1:3" ht="14.5" customHeight="1" x14ac:dyDescent="0.35">
      <c r="A117" s="6" t="s">
        <v>15</v>
      </c>
      <c r="B117" s="1" t="s">
        <v>16</v>
      </c>
      <c r="C117" s="7" t="s">
        <v>24</v>
      </c>
    </row>
    <row r="118" spans="1:3" ht="14.5" customHeight="1" x14ac:dyDescent="0.35">
      <c r="A118" s="6" t="s">
        <v>15</v>
      </c>
      <c r="B118" s="1" t="s">
        <v>150</v>
      </c>
      <c r="C118" s="7" t="s">
        <v>24</v>
      </c>
    </row>
    <row r="119" spans="1:3" ht="14.5" customHeight="1" x14ac:dyDescent="0.35">
      <c r="A119" s="6" t="s">
        <v>15</v>
      </c>
      <c r="B119" s="1" t="s">
        <v>151</v>
      </c>
      <c r="C119" s="7" t="s">
        <v>24</v>
      </c>
    </row>
    <row r="120" spans="1:3" ht="14.5" customHeight="1" x14ac:dyDescent="0.35">
      <c r="A120" s="6" t="s">
        <v>15</v>
      </c>
      <c r="B120" s="1" t="s">
        <v>152</v>
      </c>
      <c r="C120" s="7" t="s">
        <v>24</v>
      </c>
    </row>
    <row r="121" spans="1:3" ht="14.5" customHeight="1" x14ac:dyDescent="0.35">
      <c r="A121" s="6" t="s">
        <v>15</v>
      </c>
      <c r="B121" s="1" t="s">
        <v>153</v>
      </c>
      <c r="C121" s="7" t="s">
        <v>24</v>
      </c>
    </row>
    <row r="122" spans="1:3" ht="14.5" customHeight="1" x14ac:dyDescent="0.35">
      <c r="A122" s="6" t="s">
        <v>15</v>
      </c>
      <c r="B122" s="1" t="s">
        <v>154</v>
      </c>
      <c r="C122" s="7" t="s">
        <v>24</v>
      </c>
    </row>
    <row r="123" spans="1:3" ht="14.5" customHeight="1" x14ac:dyDescent="0.35">
      <c r="A123" s="6" t="s">
        <v>15</v>
      </c>
      <c r="B123" s="1" t="s">
        <v>155</v>
      </c>
      <c r="C123" s="7" t="s">
        <v>24</v>
      </c>
    </row>
    <row r="124" spans="1:3" ht="14.5" customHeight="1" x14ac:dyDescent="0.35">
      <c r="A124" s="6" t="s">
        <v>15</v>
      </c>
      <c r="B124" s="5" t="s">
        <v>156</v>
      </c>
      <c r="C124" s="7" t="s">
        <v>24</v>
      </c>
    </row>
    <row r="125" spans="1:3" ht="14.5" customHeight="1" x14ac:dyDescent="0.35">
      <c r="A125" s="6" t="s">
        <v>15</v>
      </c>
      <c r="B125" s="1" t="s">
        <v>157</v>
      </c>
      <c r="C125" s="7" t="s">
        <v>24</v>
      </c>
    </row>
    <row r="126" spans="1:3" ht="14.5" customHeight="1" x14ac:dyDescent="0.35">
      <c r="A126" s="6" t="s">
        <v>15</v>
      </c>
      <c r="B126" s="1" t="s">
        <v>17</v>
      </c>
      <c r="C126" s="7" t="s">
        <v>24</v>
      </c>
    </row>
    <row r="127" spans="1:3" ht="14.5" customHeight="1" x14ac:dyDescent="0.35">
      <c r="A127" s="1" t="s">
        <v>7</v>
      </c>
      <c r="B127" s="1" t="s">
        <v>107</v>
      </c>
      <c r="C127" s="3" t="s">
        <v>28</v>
      </c>
    </row>
    <row r="128" spans="1:3" ht="14.5" customHeight="1" x14ac:dyDescent="0.35">
      <c r="A128" s="1" t="s">
        <v>7</v>
      </c>
      <c r="B128" s="1" t="s">
        <v>108</v>
      </c>
      <c r="C128" s="3" t="s">
        <v>28</v>
      </c>
    </row>
    <row r="129" spans="1:3" ht="14.5" customHeight="1" x14ac:dyDescent="0.35">
      <c r="A129" s="1" t="s">
        <v>7</v>
      </c>
      <c r="B129" s="1" t="s">
        <v>106</v>
      </c>
      <c r="C129" s="3" t="s">
        <v>24</v>
      </c>
    </row>
    <row r="130" spans="1:3" ht="14.5" customHeight="1" x14ac:dyDescent="0.35">
      <c r="A130" s="1" t="s">
        <v>7</v>
      </c>
      <c r="B130" s="1" t="s">
        <v>109</v>
      </c>
      <c r="C130" s="2" t="s">
        <v>24</v>
      </c>
    </row>
    <row r="131" spans="1:3" ht="14.5" customHeight="1" x14ac:dyDescent="0.35">
      <c r="A131" s="1" t="s">
        <v>7</v>
      </c>
      <c r="B131" s="1" t="s">
        <v>110</v>
      </c>
      <c r="C131" s="2" t="s">
        <v>24</v>
      </c>
    </row>
    <row r="132" spans="1:3" ht="14.5" customHeight="1" x14ac:dyDescent="0.35">
      <c r="A132" s="6" t="s">
        <v>18</v>
      </c>
      <c r="B132" s="1" t="s">
        <v>158</v>
      </c>
      <c r="C132" s="7" t="s">
        <v>28</v>
      </c>
    </row>
    <row r="133" spans="1:3" ht="14.5" customHeight="1" x14ac:dyDescent="0.35">
      <c r="A133" s="6" t="s">
        <v>18</v>
      </c>
      <c r="B133" s="1" t="s">
        <v>159</v>
      </c>
      <c r="C133" s="7" t="s">
        <v>28</v>
      </c>
    </row>
    <row r="134" spans="1:3" ht="14.5" customHeight="1" x14ac:dyDescent="0.35">
      <c r="A134" s="6" t="s">
        <v>18</v>
      </c>
      <c r="B134" s="1" t="s">
        <v>160</v>
      </c>
      <c r="C134" s="7" t="s">
        <v>24</v>
      </c>
    </row>
    <row r="135" spans="1:3" ht="14.5" customHeight="1" x14ac:dyDescent="0.35">
      <c r="A135" s="6" t="s">
        <v>18</v>
      </c>
      <c r="B135" s="1" t="s">
        <v>19</v>
      </c>
      <c r="C135" s="7" t="s">
        <v>24</v>
      </c>
    </row>
    <row r="136" spans="1:3" ht="14.5" customHeight="1" x14ac:dyDescent="0.35">
      <c r="A136" s="1" t="s">
        <v>10</v>
      </c>
      <c r="B136" s="1" t="s">
        <v>118</v>
      </c>
      <c r="C136" s="14" t="s">
        <v>24</v>
      </c>
    </row>
    <row r="137" spans="1:3" ht="14.5" customHeight="1" x14ac:dyDescent="0.35">
      <c r="A137" s="1" t="s">
        <v>119</v>
      </c>
      <c r="B137" s="1" t="s">
        <v>120</v>
      </c>
      <c r="C137" s="2" t="s">
        <v>28</v>
      </c>
    </row>
    <row r="138" spans="1:3" ht="14.5" customHeight="1" x14ac:dyDescent="0.35">
      <c r="A138" s="6" t="s">
        <v>14</v>
      </c>
      <c r="B138" s="1" t="s">
        <v>143</v>
      </c>
      <c r="C138" s="7" t="s">
        <v>28</v>
      </c>
    </row>
    <row r="139" spans="1:3" ht="14.5" customHeight="1" x14ac:dyDescent="0.35">
      <c r="A139" s="6" t="s">
        <v>14</v>
      </c>
      <c r="B139" s="1" t="s">
        <v>144</v>
      </c>
      <c r="C139" s="18" t="s">
        <v>28</v>
      </c>
    </row>
    <row r="140" spans="1:3" ht="14.5" customHeight="1" x14ac:dyDescent="0.35">
      <c r="A140" s="6" t="s">
        <v>14</v>
      </c>
      <c r="B140" s="1" t="s">
        <v>146</v>
      </c>
      <c r="C140" s="7" t="s">
        <v>28</v>
      </c>
    </row>
    <row r="141" spans="1:3" ht="14.5" customHeight="1" x14ac:dyDescent="0.35">
      <c r="A141" s="6" t="s">
        <v>14</v>
      </c>
      <c r="B141" s="1" t="s">
        <v>147</v>
      </c>
      <c r="C141" s="7" t="s">
        <v>28</v>
      </c>
    </row>
    <row r="142" spans="1:3" ht="14.5" customHeight="1" x14ac:dyDescent="0.35">
      <c r="A142" s="6" t="s">
        <v>14</v>
      </c>
      <c r="B142" s="1" t="s">
        <v>148</v>
      </c>
      <c r="C142" s="7" t="s">
        <v>28</v>
      </c>
    </row>
    <row r="143" spans="1:3" ht="14.5" customHeight="1" x14ac:dyDescent="0.35">
      <c r="A143" s="6" t="s">
        <v>14</v>
      </c>
      <c r="B143" s="1" t="s">
        <v>149</v>
      </c>
      <c r="C143" s="7" t="s">
        <v>28</v>
      </c>
    </row>
    <row r="144" spans="1:3" ht="14.5" customHeight="1" x14ac:dyDescent="0.35">
      <c r="A144" s="1" t="s">
        <v>14</v>
      </c>
      <c r="B144" s="1" t="s">
        <v>142</v>
      </c>
      <c r="C144" s="2" t="s">
        <v>24</v>
      </c>
    </row>
    <row r="145" spans="1:3" ht="14.5" customHeight="1" x14ac:dyDescent="0.35">
      <c r="A145" s="6" t="s">
        <v>14</v>
      </c>
      <c r="B145" s="1" t="s">
        <v>145</v>
      </c>
      <c r="C145" s="7" t="s">
        <v>24</v>
      </c>
    </row>
    <row r="146" spans="1:3" ht="14.5" customHeight="1" x14ac:dyDescent="0.35">
      <c r="A146" s="1" t="s">
        <v>3</v>
      </c>
      <c r="B146" s="1" t="s">
        <v>63</v>
      </c>
      <c r="C146" s="2" t="s">
        <v>28</v>
      </c>
    </row>
    <row r="147" spans="1:3" ht="14.5" customHeight="1" x14ac:dyDescent="0.35">
      <c r="A147" s="1" t="s">
        <v>3</v>
      </c>
      <c r="B147" s="1" t="s">
        <v>62</v>
      </c>
      <c r="C147" s="2" t="s">
        <v>24</v>
      </c>
    </row>
    <row r="148" spans="1:3" ht="14.5" customHeight="1" x14ac:dyDescent="0.35">
      <c r="A148" s="1" t="s">
        <v>3</v>
      </c>
      <c r="B148" s="1" t="s">
        <v>64</v>
      </c>
      <c r="C148" s="2" t="s">
        <v>24</v>
      </c>
    </row>
    <row r="149" spans="1:3" ht="14.5" customHeight="1" x14ac:dyDescent="0.35">
      <c r="A149" s="1" t="s">
        <v>3</v>
      </c>
      <c r="B149" s="1" t="s">
        <v>65</v>
      </c>
      <c r="C149" s="2" t="s">
        <v>24</v>
      </c>
    </row>
    <row r="150" spans="1:3" ht="14.5" customHeight="1" x14ac:dyDescent="0.35">
      <c r="A150" s="1" t="s">
        <v>3</v>
      </c>
      <c r="B150" s="1" t="s">
        <v>66</v>
      </c>
      <c r="C150" s="2" t="s">
        <v>24</v>
      </c>
    </row>
  </sheetData>
  <dataValidations count="1">
    <dataValidation type="list" allowBlank="1" showInputMessage="1" showErrorMessage="1" sqref="A2:A150" xr:uid="{74B311E3-475D-4547-9C76-809F34D73899}">
      <formula1>SubCategories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RedBackground">
                <anchor>
                  <from>
                    <xdr:col>9</xdr:col>
                    <xdr:colOff>6350</xdr:colOff>
                    <xdr:row>10</xdr:row>
                    <xdr:rowOff>114300</xdr:rowOff>
                  </from>
                  <to>
                    <xdr:col>14</xdr:col>
                    <xdr:colOff>12700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ReplaceOptionsStandardword">
                <anchor>
                  <from>
                    <xdr:col>8</xdr:col>
                    <xdr:colOff>38100</xdr:colOff>
                    <xdr:row>25</xdr:row>
                    <xdr:rowOff>19050</xdr:rowOff>
                  </from>
                  <to>
                    <xdr:col>11</xdr:col>
                    <xdr:colOff>400050</xdr:colOff>
                    <xdr:row>26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greenBackground">
                <anchor>
                  <from>
                    <xdr:col>8</xdr:col>
                    <xdr:colOff>501650</xdr:colOff>
                    <xdr:row>14</xdr:row>
                    <xdr:rowOff>88900</xdr:rowOff>
                  </from>
                  <to>
                    <xdr:col>13</xdr:col>
                    <xdr:colOff>552450</xdr:colOff>
                    <xdr:row>16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filterHypen">
                <anchor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11</xdr:col>
                    <xdr:colOff>393700</xdr:colOff>
                    <xdr:row>28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electRangeWithValuesv2">
                <anchor>
                  <from>
                    <xdr:col>8</xdr:col>
                    <xdr:colOff>31750</xdr:colOff>
                    <xdr:row>23</xdr:row>
                    <xdr:rowOff>12700</xdr:rowOff>
                  </from>
                  <to>
                    <xdr:col>11</xdr:col>
                    <xdr:colOff>406400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Button 6">
              <controlPr defaultSize="0" print="0" autoFill="0" autoPict="0" macro="[0]!DeleteColumnsNotGreenOrRed">
                <anchor>
                  <from>
                    <xdr:col>8</xdr:col>
                    <xdr:colOff>12700</xdr:colOff>
                    <xdr:row>20</xdr:row>
                    <xdr:rowOff>107950</xdr:rowOff>
                  </from>
                  <to>
                    <xdr:col>11</xdr:col>
                    <xdr:colOff>444500</xdr:colOff>
                    <xdr:row>22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Button 7">
              <controlPr defaultSize="0" print="0" autoFill="0" autoPict="0" macro="[0]!select_and_Sort">
                <anchor>
                  <from>
                    <xdr:col>8</xdr:col>
                    <xdr:colOff>63500</xdr:colOff>
                    <xdr:row>29</xdr:row>
                    <xdr:rowOff>69850</xdr:rowOff>
                  </from>
                  <to>
                    <xdr:col>11</xdr:col>
                    <xdr:colOff>381000</xdr:colOff>
                    <xdr:row>31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Button 8">
              <controlPr defaultSize="0" print="0" autoFill="0" autoPict="0" macro="[0]!CombinedMacro">
                <anchor>
                  <from>
                    <xdr:col>12</xdr:col>
                    <xdr:colOff>0</xdr:colOff>
                    <xdr:row>20</xdr:row>
                    <xdr:rowOff>50800</xdr:rowOff>
                  </from>
                  <to>
                    <xdr:col>14</xdr:col>
                    <xdr:colOff>139700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Button 9">
              <controlPr defaultSize="0" print="0" autoFill="0" autoPict="0" macro="[0]!filterHypenDynamicRange">
                <anchor>
                  <from>
                    <xdr:col>11</xdr:col>
                    <xdr:colOff>603250</xdr:colOff>
                    <xdr:row>27</xdr:row>
                    <xdr:rowOff>50800</xdr:rowOff>
                  </from>
                  <to>
                    <xdr:col>14</xdr:col>
                    <xdr:colOff>165100</xdr:colOff>
                    <xdr:row>28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Button 10">
              <controlPr defaultSize="0" print="0" autoFill="0" autoPict="0" macro="[0]!SortDynamicCurrentRegion">
                <anchor>
                  <from>
                    <xdr:col>12</xdr:col>
                    <xdr:colOff>12700</xdr:colOff>
                    <xdr:row>29</xdr:row>
                    <xdr:rowOff>101600</xdr:rowOff>
                  </from>
                  <to>
                    <xdr:col>14</xdr:col>
                    <xdr:colOff>177800</xdr:colOff>
                    <xdr:row>30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F90601-97CE-4030-A8D9-85108CC0DDD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Cliente</vt:lpstr>
      <vt:lpstr>2023 Ford Ranger XL Truck _ Mod</vt:lpstr>
      <vt:lpstr>csv</vt:lpstr>
      <vt:lpstr>Varios</vt:lpstr>
      <vt:lpstr>Cliente Backup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Ignacio Tornero</dc:creator>
  <cp:lastModifiedBy>Juan Ignacio Tornero</cp:lastModifiedBy>
  <dcterms:created xsi:type="dcterms:W3CDTF">2015-06-05T18:19:34Z</dcterms:created>
  <dcterms:modified xsi:type="dcterms:W3CDTF">2023-08-21T21:36:41Z</dcterms:modified>
</cp:coreProperties>
</file>